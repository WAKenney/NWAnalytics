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7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0f4fad9919cbe5b/Neighbourwoods/NWAnalytics/"/>
    </mc:Choice>
  </mc:AlternateContent>
  <xr:revisionPtr revIDLastSave="0" documentId="13_ncr:40009_{331C3DD1-AED7-457F-8D54-33BE38FF1221}" xr6:coauthVersionLast="47" xr6:coauthVersionMax="47" xr10:uidLastSave="{00000000-0000-0000-0000-000000000000}"/>
  <bookViews>
    <workbookView xWindow="-120" yWindow="-120" windowWidth="29040" windowHeight="15840" activeTab="1"/>
  </bookViews>
  <sheets>
    <sheet name="species" sheetId="1" r:id="rId1"/>
    <sheet name="all data" sheetId="4" r:id="rId2"/>
  </sheets>
  <calcPr calcId="0"/>
</workbook>
</file>

<file path=xl/calcChain.xml><?xml version="1.0" encoding="utf-8"?>
<calcChain xmlns="http://schemas.openxmlformats.org/spreadsheetml/2006/main">
  <c r="AA300" i="4" l="1"/>
  <c r="W300" i="4"/>
  <c r="K300" i="4"/>
  <c r="AA299" i="4"/>
  <c r="W299" i="4"/>
  <c r="K299" i="4"/>
  <c r="AA298" i="4"/>
  <c r="W298" i="4"/>
  <c r="K298" i="4"/>
  <c r="AA297" i="4"/>
  <c r="W297" i="4"/>
  <c r="K297" i="4"/>
  <c r="AA296" i="4"/>
  <c r="W296" i="4"/>
  <c r="K296" i="4"/>
  <c r="AA295" i="4"/>
  <c r="W295" i="4"/>
  <c r="K295" i="4"/>
  <c r="AA294" i="4"/>
  <c r="W294" i="4"/>
  <c r="K294" i="4"/>
  <c r="AA293" i="4"/>
  <c r="W293" i="4"/>
  <c r="K293" i="4"/>
  <c r="AA292" i="4"/>
  <c r="W292" i="4"/>
  <c r="K292" i="4"/>
  <c r="AA291" i="4"/>
  <c r="W291" i="4"/>
  <c r="K291" i="4"/>
  <c r="AA290" i="4"/>
  <c r="W290" i="4"/>
  <c r="K290" i="4"/>
  <c r="AA289" i="4"/>
  <c r="W289" i="4"/>
  <c r="K289" i="4"/>
  <c r="AA288" i="4"/>
  <c r="W288" i="4"/>
  <c r="K288" i="4"/>
  <c r="AA287" i="4"/>
  <c r="W287" i="4"/>
  <c r="K287" i="4"/>
  <c r="AA286" i="4"/>
  <c r="W286" i="4"/>
  <c r="K286" i="4"/>
  <c r="AA285" i="4"/>
  <c r="W285" i="4"/>
  <c r="K285" i="4"/>
  <c r="AA284" i="4"/>
  <c r="W284" i="4"/>
  <c r="K284" i="4"/>
  <c r="AA283" i="4"/>
  <c r="W283" i="4"/>
  <c r="K283" i="4"/>
  <c r="AA282" i="4"/>
  <c r="W282" i="4"/>
  <c r="K282" i="4"/>
  <c r="AA281" i="4"/>
  <c r="W281" i="4"/>
  <c r="K281" i="4"/>
  <c r="AA280" i="4"/>
  <c r="W280" i="4"/>
  <c r="K280" i="4"/>
  <c r="AA279" i="4"/>
  <c r="W279" i="4"/>
  <c r="K279" i="4"/>
  <c r="AA278" i="4"/>
  <c r="W278" i="4"/>
  <c r="K278" i="4"/>
  <c r="AA277" i="4"/>
  <c r="W277" i="4"/>
  <c r="K277" i="4"/>
  <c r="AA276" i="4"/>
  <c r="W276" i="4"/>
  <c r="K276" i="4"/>
  <c r="AA275" i="4"/>
  <c r="W275" i="4"/>
  <c r="K275" i="4"/>
  <c r="AA274" i="4"/>
  <c r="W274" i="4"/>
  <c r="K274" i="4"/>
  <c r="AA273" i="4"/>
  <c r="W273" i="4"/>
  <c r="K273" i="4"/>
  <c r="AA272" i="4"/>
  <c r="W272" i="4"/>
  <c r="K272" i="4"/>
  <c r="W271" i="4"/>
  <c r="AA270" i="4"/>
  <c r="W270" i="4"/>
  <c r="K270" i="4"/>
  <c r="AA269" i="4"/>
  <c r="W269" i="4"/>
  <c r="K269" i="4"/>
  <c r="W268" i="4"/>
  <c r="K268" i="4"/>
  <c r="AA267" i="4"/>
  <c r="W267" i="4"/>
  <c r="K267" i="4"/>
  <c r="AA266" i="4"/>
  <c r="W266" i="4"/>
  <c r="K266" i="4"/>
  <c r="AA265" i="4"/>
  <c r="W265" i="4"/>
  <c r="K265" i="4"/>
  <c r="AA264" i="4"/>
  <c r="W264" i="4"/>
  <c r="K264" i="4"/>
  <c r="AA263" i="4"/>
  <c r="W263" i="4"/>
  <c r="K263" i="4"/>
  <c r="W262" i="4"/>
  <c r="AA261" i="4"/>
  <c r="W261" i="4"/>
  <c r="K261" i="4"/>
  <c r="AA260" i="4"/>
  <c r="W260" i="4"/>
  <c r="K260" i="4"/>
  <c r="AA259" i="4"/>
  <c r="W259" i="4"/>
  <c r="K259" i="4"/>
  <c r="AA258" i="4"/>
  <c r="W258" i="4"/>
  <c r="K258" i="4"/>
  <c r="AA257" i="4"/>
  <c r="W257" i="4"/>
  <c r="K257" i="4"/>
  <c r="AA256" i="4"/>
  <c r="W256" i="4"/>
  <c r="K256" i="4"/>
  <c r="AA255" i="4"/>
  <c r="W255" i="4"/>
  <c r="K255" i="4"/>
  <c r="AA254" i="4"/>
  <c r="W254" i="4"/>
  <c r="K254" i="4"/>
  <c r="W253" i="4"/>
  <c r="AA252" i="4"/>
  <c r="W252" i="4"/>
  <c r="K252" i="4"/>
  <c r="AA251" i="4"/>
  <c r="W251" i="4"/>
  <c r="K251" i="4"/>
  <c r="AA250" i="4"/>
  <c r="W250" i="4"/>
  <c r="K250" i="4"/>
  <c r="AA249" i="4"/>
  <c r="W249" i="4"/>
  <c r="K249" i="4"/>
  <c r="AA248" i="4"/>
  <c r="W248" i="4"/>
  <c r="K248" i="4"/>
  <c r="AA247" i="4"/>
  <c r="W247" i="4"/>
  <c r="K247" i="4"/>
  <c r="AA246" i="4"/>
  <c r="W246" i="4"/>
  <c r="K246" i="4"/>
  <c r="AA245" i="4"/>
  <c r="W245" i="4"/>
  <c r="K245" i="4"/>
  <c r="AA244" i="4"/>
  <c r="W244" i="4"/>
  <c r="K244" i="4"/>
  <c r="AA243" i="4"/>
  <c r="W243" i="4"/>
  <c r="K243" i="4"/>
  <c r="AA242" i="4"/>
  <c r="W242" i="4"/>
  <c r="K242" i="4"/>
  <c r="AA241" i="4"/>
  <c r="W241" i="4"/>
  <c r="K241" i="4"/>
  <c r="AA240" i="4"/>
  <c r="W240" i="4"/>
  <c r="K240" i="4"/>
  <c r="AA239" i="4"/>
  <c r="W239" i="4"/>
  <c r="K239" i="4"/>
  <c r="AA238" i="4"/>
  <c r="W238" i="4"/>
  <c r="K238" i="4"/>
  <c r="AA237" i="4"/>
  <c r="W237" i="4"/>
  <c r="K237" i="4"/>
  <c r="AA236" i="4"/>
  <c r="W236" i="4"/>
  <c r="K236" i="4"/>
  <c r="AA235" i="4"/>
  <c r="W235" i="4"/>
  <c r="K235" i="4"/>
  <c r="AA234" i="4"/>
  <c r="W234" i="4"/>
  <c r="K234" i="4"/>
  <c r="AA233" i="4"/>
  <c r="W233" i="4"/>
  <c r="K233" i="4"/>
  <c r="AA232" i="4"/>
  <c r="W232" i="4"/>
  <c r="K232" i="4"/>
  <c r="AA231" i="4"/>
  <c r="W231" i="4"/>
  <c r="K231" i="4"/>
  <c r="AA230" i="4"/>
  <c r="W230" i="4"/>
  <c r="K230" i="4"/>
  <c r="AA229" i="4"/>
  <c r="W229" i="4"/>
  <c r="K229" i="4"/>
  <c r="W228" i="4"/>
  <c r="AA227" i="4"/>
  <c r="W227" i="4"/>
  <c r="K227" i="4"/>
  <c r="AA226" i="4"/>
  <c r="W226" i="4"/>
  <c r="K226" i="4"/>
  <c r="AA225" i="4"/>
  <c r="W225" i="4"/>
  <c r="K225" i="4"/>
  <c r="AA224" i="4"/>
  <c r="W224" i="4"/>
  <c r="K224" i="4"/>
  <c r="AA223" i="4"/>
  <c r="W223" i="4"/>
  <c r="K223" i="4"/>
  <c r="AA222" i="4"/>
  <c r="W222" i="4"/>
  <c r="K222" i="4"/>
  <c r="AA221" i="4"/>
  <c r="W221" i="4"/>
  <c r="K221" i="4"/>
  <c r="AA220" i="4"/>
  <c r="W220" i="4"/>
  <c r="K220" i="4"/>
  <c r="AA219" i="4"/>
  <c r="W219" i="4"/>
  <c r="K219" i="4"/>
  <c r="AA218" i="4"/>
  <c r="W218" i="4"/>
  <c r="K218" i="4"/>
  <c r="AA217" i="4"/>
  <c r="W217" i="4"/>
  <c r="K217" i="4"/>
  <c r="AA216" i="4"/>
  <c r="W216" i="4"/>
  <c r="K216" i="4"/>
  <c r="AA215" i="4"/>
  <c r="W215" i="4"/>
  <c r="K215" i="4"/>
  <c r="AA214" i="4"/>
  <c r="W214" i="4"/>
  <c r="AA213" i="4"/>
  <c r="W213" i="4"/>
  <c r="K213" i="4"/>
  <c r="AA212" i="4"/>
  <c r="W212" i="4"/>
  <c r="K212" i="4"/>
  <c r="AA211" i="4"/>
  <c r="W211" i="4"/>
  <c r="K211" i="4"/>
  <c r="AA210" i="4"/>
  <c r="W210" i="4"/>
  <c r="K210" i="4"/>
  <c r="AA209" i="4"/>
  <c r="W209" i="4"/>
  <c r="K209" i="4"/>
  <c r="AA208" i="4"/>
  <c r="W208" i="4"/>
  <c r="K208" i="4"/>
  <c r="AA207" i="4"/>
  <c r="W207" i="4"/>
  <c r="K207" i="4"/>
  <c r="AA206" i="4"/>
  <c r="W206" i="4"/>
  <c r="K206" i="4"/>
  <c r="AA205" i="4"/>
  <c r="W205" i="4"/>
  <c r="K205" i="4"/>
  <c r="AA204" i="4"/>
  <c r="W204" i="4"/>
  <c r="K204" i="4"/>
  <c r="AA203" i="4"/>
  <c r="W203" i="4"/>
  <c r="K203" i="4"/>
  <c r="AA202" i="4"/>
  <c r="W202" i="4"/>
  <c r="K202" i="4"/>
  <c r="AA201" i="4"/>
  <c r="W201" i="4"/>
  <c r="K201" i="4"/>
  <c r="AA200" i="4"/>
  <c r="W200" i="4"/>
  <c r="K200" i="4"/>
  <c r="AA199" i="4"/>
  <c r="W199" i="4"/>
  <c r="K199" i="4"/>
  <c r="AA198" i="4"/>
  <c r="W198" i="4"/>
  <c r="K198" i="4"/>
  <c r="AA197" i="4"/>
  <c r="W197" i="4"/>
  <c r="K197" i="4"/>
  <c r="AA196" i="4"/>
  <c r="W196" i="4"/>
  <c r="K196" i="4"/>
  <c r="AA195" i="4"/>
  <c r="W195" i="4"/>
  <c r="K195" i="4"/>
  <c r="AA194" i="4"/>
  <c r="W194" i="4"/>
  <c r="K194" i="4"/>
  <c r="AA193" i="4"/>
  <c r="W193" i="4"/>
  <c r="K193" i="4"/>
  <c r="AA192" i="4"/>
  <c r="W192" i="4"/>
  <c r="K192" i="4"/>
  <c r="AA191" i="4"/>
  <c r="W191" i="4"/>
  <c r="K191" i="4"/>
  <c r="AA190" i="4"/>
  <c r="W190" i="4"/>
  <c r="K190" i="4"/>
  <c r="AA189" i="4"/>
  <c r="W189" i="4"/>
  <c r="K189" i="4"/>
  <c r="AA188" i="4"/>
  <c r="W188" i="4"/>
  <c r="K188" i="4"/>
  <c r="AA187" i="4"/>
  <c r="W187" i="4"/>
  <c r="K187" i="4"/>
  <c r="AA186" i="4"/>
  <c r="W186" i="4"/>
  <c r="K186" i="4"/>
  <c r="AA185" i="4"/>
  <c r="W185" i="4"/>
  <c r="K185" i="4"/>
  <c r="AA184" i="4"/>
  <c r="W184" i="4"/>
  <c r="K184" i="4"/>
  <c r="AA183" i="4"/>
  <c r="W183" i="4"/>
  <c r="K183" i="4"/>
  <c r="AA182" i="4"/>
  <c r="W182" i="4"/>
  <c r="K182" i="4"/>
  <c r="AA181" i="4"/>
  <c r="W181" i="4"/>
  <c r="K181" i="4"/>
  <c r="AA180" i="4"/>
  <c r="W180" i="4"/>
  <c r="K180" i="4"/>
  <c r="AA179" i="4"/>
  <c r="W179" i="4"/>
  <c r="K179" i="4"/>
  <c r="AA178" i="4"/>
  <c r="W178" i="4"/>
  <c r="K178" i="4"/>
  <c r="AA177" i="4"/>
  <c r="W177" i="4"/>
  <c r="K177" i="4"/>
  <c r="AA176" i="4"/>
  <c r="W176" i="4"/>
  <c r="K176" i="4"/>
  <c r="AA175" i="4"/>
  <c r="W175" i="4"/>
  <c r="K175" i="4"/>
  <c r="AA174" i="4"/>
  <c r="W174" i="4"/>
  <c r="K174" i="4"/>
  <c r="AA173" i="4"/>
  <c r="W173" i="4"/>
  <c r="K173" i="4"/>
  <c r="AA172" i="4"/>
  <c r="W172" i="4"/>
  <c r="K172" i="4"/>
  <c r="AA171" i="4"/>
  <c r="W171" i="4"/>
  <c r="K171" i="4"/>
  <c r="AA170" i="4"/>
  <c r="W170" i="4"/>
  <c r="K170" i="4"/>
  <c r="AA169" i="4"/>
  <c r="W169" i="4"/>
  <c r="K169" i="4"/>
  <c r="AA168" i="4"/>
  <c r="W168" i="4"/>
  <c r="K168" i="4"/>
  <c r="AA167" i="4"/>
  <c r="W167" i="4"/>
  <c r="K167" i="4"/>
  <c r="AA166" i="4"/>
  <c r="W166" i="4"/>
  <c r="K166" i="4"/>
  <c r="AA165" i="4"/>
  <c r="W165" i="4"/>
  <c r="K165" i="4"/>
  <c r="AA164" i="4"/>
  <c r="W164" i="4"/>
  <c r="K164" i="4"/>
  <c r="AA163" i="4"/>
  <c r="W163" i="4"/>
  <c r="K163" i="4"/>
  <c r="AA162" i="4"/>
  <c r="W162" i="4"/>
  <c r="K162" i="4"/>
  <c r="AA161" i="4"/>
  <c r="W161" i="4"/>
  <c r="K161" i="4"/>
  <c r="AA160" i="4"/>
  <c r="W160" i="4"/>
  <c r="K160" i="4"/>
  <c r="AA159" i="4"/>
  <c r="W159" i="4"/>
  <c r="K159" i="4"/>
  <c r="AA158" i="4"/>
  <c r="W158" i="4"/>
  <c r="K158" i="4"/>
  <c r="AA157" i="4"/>
  <c r="W157" i="4"/>
  <c r="K157" i="4"/>
  <c r="AA156" i="4"/>
  <c r="W156" i="4"/>
  <c r="K156" i="4"/>
  <c r="AA155" i="4"/>
  <c r="W155" i="4"/>
  <c r="K155" i="4"/>
  <c r="AA154" i="4"/>
  <c r="W154" i="4"/>
  <c r="K154" i="4"/>
  <c r="AA153" i="4"/>
  <c r="W153" i="4"/>
  <c r="K153" i="4"/>
  <c r="AA152" i="4"/>
  <c r="W152" i="4"/>
  <c r="K152" i="4"/>
  <c r="AA151" i="4"/>
  <c r="W151" i="4"/>
  <c r="K151" i="4"/>
  <c r="AA150" i="4"/>
  <c r="W150" i="4"/>
  <c r="K150" i="4"/>
  <c r="AA149" i="4"/>
  <c r="W149" i="4"/>
  <c r="K149" i="4"/>
  <c r="AA148" i="4"/>
  <c r="W148" i="4"/>
  <c r="K148" i="4"/>
  <c r="AA147" i="4"/>
  <c r="W147" i="4"/>
  <c r="K147" i="4"/>
  <c r="AA146" i="4"/>
  <c r="W146" i="4"/>
  <c r="K146" i="4"/>
  <c r="AA145" i="4"/>
  <c r="W145" i="4"/>
  <c r="K145" i="4"/>
  <c r="AA144" i="4"/>
  <c r="W144" i="4"/>
  <c r="K144" i="4"/>
  <c r="AA143" i="4"/>
  <c r="W143" i="4"/>
  <c r="K143" i="4"/>
  <c r="AA142" i="4"/>
  <c r="W142" i="4"/>
  <c r="K142" i="4"/>
  <c r="AA141" i="4"/>
  <c r="W141" i="4"/>
  <c r="K141" i="4"/>
  <c r="AA140" i="4"/>
  <c r="W140" i="4"/>
  <c r="K140" i="4"/>
  <c r="AA139" i="4"/>
  <c r="W139" i="4"/>
  <c r="K139" i="4"/>
  <c r="AA138" i="4"/>
  <c r="W138" i="4"/>
  <c r="K138" i="4"/>
  <c r="AA137" i="4"/>
  <c r="W137" i="4"/>
  <c r="K137" i="4"/>
  <c r="AA136" i="4"/>
  <c r="W136" i="4"/>
  <c r="K136" i="4"/>
  <c r="AA135" i="4"/>
  <c r="W135" i="4"/>
  <c r="K135" i="4"/>
  <c r="AA134" i="4"/>
  <c r="W134" i="4"/>
  <c r="K134" i="4"/>
  <c r="AA133" i="4"/>
  <c r="W133" i="4"/>
  <c r="K133" i="4"/>
  <c r="AA132" i="4"/>
  <c r="W132" i="4"/>
  <c r="K132" i="4"/>
  <c r="AA131" i="4"/>
  <c r="W131" i="4"/>
  <c r="K131" i="4"/>
  <c r="AA130" i="4"/>
  <c r="W130" i="4"/>
  <c r="K130" i="4"/>
  <c r="AA129" i="4"/>
  <c r="W129" i="4"/>
  <c r="K129" i="4"/>
  <c r="AA128" i="4"/>
  <c r="W128" i="4"/>
  <c r="K128" i="4"/>
  <c r="AA127" i="4"/>
  <c r="W127" i="4"/>
  <c r="K127" i="4"/>
  <c r="AA126" i="4"/>
  <c r="W126" i="4"/>
  <c r="K126" i="4"/>
  <c r="AA125" i="4"/>
  <c r="W125" i="4"/>
  <c r="K125" i="4"/>
  <c r="AA124" i="4"/>
  <c r="W124" i="4"/>
  <c r="K124" i="4"/>
  <c r="AA123" i="4"/>
  <c r="W123" i="4"/>
  <c r="K123" i="4"/>
  <c r="AA122" i="4"/>
  <c r="W122" i="4"/>
  <c r="K122" i="4"/>
  <c r="AA121" i="4"/>
  <c r="W121" i="4"/>
  <c r="K121" i="4"/>
  <c r="AA120" i="4"/>
  <c r="W120" i="4"/>
  <c r="K120" i="4"/>
  <c r="AA119" i="4"/>
  <c r="W119" i="4"/>
  <c r="K119" i="4"/>
  <c r="AA118" i="4"/>
  <c r="W118" i="4"/>
  <c r="K118" i="4"/>
  <c r="AA117" i="4"/>
  <c r="W117" i="4"/>
  <c r="K117" i="4"/>
  <c r="AA116" i="4"/>
  <c r="W116" i="4"/>
  <c r="K116" i="4"/>
  <c r="W115" i="4"/>
  <c r="AA114" i="4"/>
  <c r="W114" i="4"/>
  <c r="K114" i="4"/>
  <c r="AA113" i="4"/>
  <c r="W113" i="4"/>
  <c r="K113" i="4"/>
  <c r="AA112" i="4"/>
  <c r="W112" i="4"/>
  <c r="K112" i="4"/>
  <c r="AA111" i="4"/>
  <c r="W111" i="4"/>
  <c r="K111" i="4"/>
  <c r="AA110" i="4"/>
  <c r="W110" i="4"/>
  <c r="K110" i="4"/>
  <c r="AA109" i="4"/>
  <c r="W109" i="4"/>
  <c r="K109" i="4"/>
  <c r="AA108" i="4"/>
  <c r="W108" i="4"/>
  <c r="K108" i="4"/>
  <c r="AA107" i="4"/>
  <c r="W107" i="4"/>
  <c r="K107" i="4"/>
  <c r="AA106" i="4"/>
  <c r="W106" i="4"/>
  <c r="K106" i="4"/>
  <c r="AA105" i="4"/>
  <c r="W105" i="4"/>
  <c r="K105" i="4"/>
  <c r="AA104" i="4"/>
  <c r="W104" i="4"/>
  <c r="K104" i="4"/>
  <c r="AA103" i="4"/>
  <c r="W103" i="4"/>
  <c r="K103" i="4"/>
  <c r="AA102" i="4"/>
  <c r="W102" i="4"/>
  <c r="K102" i="4"/>
  <c r="AA101" i="4"/>
  <c r="W101" i="4"/>
  <c r="K101" i="4"/>
  <c r="W100" i="4"/>
  <c r="AA99" i="4"/>
  <c r="W99" i="4"/>
  <c r="K99" i="4"/>
  <c r="AA98" i="4"/>
  <c r="W98" i="4"/>
  <c r="AA97" i="4"/>
  <c r="W97" i="4"/>
  <c r="K97" i="4"/>
  <c r="AA96" i="4"/>
  <c r="W96" i="4"/>
  <c r="K96" i="4"/>
  <c r="AA95" i="4"/>
  <c r="W95" i="4"/>
  <c r="K95" i="4"/>
  <c r="AA94" i="4"/>
  <c r="W94" i="4"/>
  <c r="K94" i="4"/>
  <c r="AA93" i="4"/>
  <c r="W93" i="4"/>
  <c r="K93" i="4"/>
  <c r="AA92" i="4"/>
  <c r="W92" i="4"/>
  <c r="K92" i="4"/>
  <c r="AA91" i="4"/>
  <c r="W91" i="4"/>
  <c r="K91" i="4"/>
  <c r="AA90" i="4"/>
  <c r="W90" i="4"/>
  <c r="K90" i="4"/>
  <c r="AA89" i="4"/>
  <c r="W89" i="4"/>
  <c r="K89" i="4"/>
  <c r="AA88" i="4"/>
  <c r="W88" i="4"/>
  <c r="AA87" i="4"/>
  <c r="W87" i="4"/>
  <c r="K87" i="4"/>
  <c r="AA86" i="4"/>
  <c r="W86" i="4"/>
  <c r="K86" i="4"/>
  <c r="AA85" i="4"/>
  <c r="W85" i="4"/>
  <c r="K85" i="4"/>
  <c r="AA84" i="4"/>
  <c r="W84" i="4"/>
  <c r="K84" i="4"/>
  <c r="AA83" i="4"/>
  <c r="W83" i="4"/>
  <c r="K83" i="4"/>
  <c r="AA82" i="4"/>
  <c r="W82" i="4"/>
  <c r="K82" i="4"/>
  <c r="AA81" i="4"/>
  <c r="W81" i="4"/>
  <c r="K81" i="4"/>
  <c r="AA80" i="4"/>
  <c r="W80" i="4"/>
  <c r="K80" i="4"/>
  <c r="AA79" i="4"/>
  <c r="W79" i="4"/>
  <c r="K79" i="4"/>
  <c r="AA78" i="4"/>
  <c r="W78" i="4"/>
  <c r="K78" i="4"/>
  <c r="AA77" i="4"/>
  <c r="W77" i="4"/>
  <c r="K77" i="4"/>
  <c r="AA76" i="4"/>
  <c r="W76" i="4"/>
  <c r="K76" i="4"/>
  <c r="AA75" i="4"/>
  <c r="W75" i="4"/>
  <c r="K75" i="4"/>
  <c r="AA74" i="4"/>
  <c r="W74" i="4"/>
  <c r="K74" i="4"/>
  <c r="AA73" i="4"/>
  <c r="W73" i="4"/>
  <c r="K73" i="4"/>
  <c r="AA72" i="4"/>
  <c r="W72" i="4"/>
  <c r="K72" i="4"/>
  <c r="AA71" i="4"/>
  <c r="W71" i="4"/>
  <c r="K71" i="4"/>
  <c r="W70" i="4"/>
  <c r="AA69" i="4"/>
  <c r="W69" i="4"/>
  <c r="K69" i="4"/>
  <c r="AA68" i="4"/>
  <c r="W68" i="4"/>
  <c r="K68" i="4"/>
  <c r="AA67" i="4"/>
  <c r="W67" i="4"/>
  <c r="K67" i="4"/>
  <c r="AA66" i="4"/>
  <c r="W66" i="4"/>
  <c r="K66" i="4"/>
  <c r="AA65" i="4"/>
  <c r="W65" i="4"/>
  <c r="K65" i="4"/>
  <c r="AA64" i="4"/>
  <c r="W64" i="4"/>
  <c r="K64" i="4"/>
  <c r="AA63" i="4"/>
  <c r="W63" i="4"/>
  <c r="K63" i="4"/>
  <c r="AA62" i="4"/>
  <c r="W62" i="4"/>
  <c r="K62" i="4"/>
  <c r="AA61" i="4"/>
  <c r="W61" i="4"/>
  <c r="K61" i="4"/>
  <c r="AA60" i="4"/>
  <c r="W60" i="4"/>
  <c r="K60" i="4"/>
  <c r="AA59" i="4"/>
  <c r="W59" i="4"/>
  <c r="K59" i="4"/>
  <c r="AA58" i="4"/>
  <c r="W58" i="4"/>
  <c r="K58" i="4"/>
  <c r="AA57" i="4"/>
  <c r="W57" i="4"/>
  <c r="K57" i="4"/>
  <c r="AA56" i="4"/>
  <c r="W56" i="4"/>
  <c r="K56" i="4"/>
  <c r="AA55" i="4"/>
  <c r="W55" i="4"/>
  <c r="K55" i="4"/>
  <c r="AA54" i="4"/>
  <c r="W54" i="4"/>
  <c r="K54" i="4"/>
  <c r="AA53" i="4"/>
  <c r="W53" i="4"/>
  <c r="K53" i="4"/>
  <c r="AA52" i="4"/>
  <c r="W52" i="4"/>
  <c r="K52" i="4"/>
  <c r="AA51" i="4"/>
  <c r="W51" i="4"/>
  <c r="K51" i="4"/>
  <c r="AA50" i="4"/>
  <c r="W50" i="4"/>
  <c r="K50" i="4"/>
  <c r="AA49" i="4"/>
  <c r="W49" i="4"/>
  <c r="K49" i="4"/>
  <c r="AA48" i="4"/>
  <c r="W48" i="4"/>
  <c r="K48" i="4"/>
  <c r="AA47" i="4"/>
  <c r="W47" i="4"/>
  <c r="K47" i="4"/>
  <c r="AA46" i="4"/>
  <c r="W46" i="4"/>
  <c r="K46" i="4"/>
  <c r="AA45" i="4"/>
  <c r="W45" i="4"/>
  <c r="K45" i="4"/>
  <c r="AA44" i="4"/>
  <c r="W44" i="4"/>
  <c r="K44" i="4"/>
  <c r="AA43" i="4"/>
  <c r="W43" i="4"/>
  <c r="K43" i="4"/>
  <c r="AA42" i="4"/>
  <c r="W42" i="4"/>
  <c r="K42" i="4"/>
  <c r="AA41" i="4"/>
  <c r="W41" i="4"/>
  <c r="K41" i="4"/>
  <c r="AA40" i="4"/>
  <c r="W40" i="4"/>
  <c r="K40" i="4"/>
  <c r="AA39" i="4"/>
  <c r="W39" i="4"/>
  <c r="K39" i="4"/>
  <c r="AA38" i="4"/>
  <c r="W38" i="4"/>
  <c r="K38" i="4"/>
  <c r="AA37" i="4"/>
  <c r="W37" i="4"/>
  <c r="K37" i="4"/>
  <c r="AA36" i="4"/>
  <c r="W36" i="4"/>
  <c r="K36" i="4"/>
  <c r="AA35" i="4"/>
  <c r="W35" i="4"/>
  <c r="K35" i="4"/>
  <c r="AA34" i="4"/>
  <c r="W34" i="4"/>
  <c r="K34" i="4"/>
  <c r="AA33" i="4"/>
  <c r="W33" i="4"/>
  <c r="K33" i="4"/>
  <c r="AA32" i="4"/>
  <c r="W32" i="4"/>
  <c r="K32" i="4"/>
  <c r="AA31" i="4"/>
  <c r="W31" i="4"/>
  <c r="K31" i="4"/>
  <c r="AA30" i="4"/>
  <c r="W30" i="4"/>
  <c r="K30" i="4"/>
  <c r="AA29" i="4"/>
  <c r="W29" i="4"/>
  <c r="K29" i="4"/>
  <c r="AA28" i="4"/>
  <c r="W28" i="4"/>
  <c r="K28" i="4"/>
  <c r="AA27" i="4"/>
  <c r="W27" i="4"/>
  <c r="K27" i="4"/>
  <c r="AA26" i="4"/>
  <c r="W26" i="4"/>
  <c r="K26" i="4"/>
  <c r="AA25" i="4"/>
  <c r="W25" i="4"/>
  <c r="K25" i="4"/>
  <c r="AA24" i="4"/>
  <c r="W24" i="4"/>
  <c r="K24" i="4"/>
  <c r="AA23" i="4"/>
  <c r="W23" i="4"/>
  <c r="K23" i="4"/>
  <c r="AA22" i="4"/>
  <c r="W22" i="4"/>
  <c r="K22" i="4"/>
  <c r="AA21" i="4"/>
  <c r="W21" i="4"/>
  <c r="K21" i="4"/>
  <c r="AA20" i="4"/>
  <c r="W20" i="4"/>
  <c r="K20" i="4"/>
  <c r="AA19" i="4"/>
  <c r="W19" i="4"/>
  <c r="K19" i="4"/>
  <c r="AA18" i="4"/>
  <c r="W18" i="4"/>
  <c r="K18" i="4"/>
  <c r="AA17" i="4"/>
  <c r="W17" i="4"/>
  <c r="K17" i="4"/>
  <c r="AA16" i="4"/>
  <c r="W16" i="4"/>
  <c r="K16" i="4"/>
  <c r="AA15" i="4"/>
  <c r="W15" i="4"/>
  <c r="K15" i="4"/>
  <c r="AA14" i="4"/>
  <c r="W14" i="4"/>
  <c r="K14" i="4"/>
  <c r="AA13" i="4"/>
  <c r="W13" i="4"/>
  <c r="K13" i="4"/>
  <c r="AA12" i="4"/>
  <c r="W12" i="4"/>
  <c r="K12" i="4"/>
  <c r="AA11" i="4"/>
  <c r="W11" i="4"/>
  <c r="K11" i="4"/>
  <c r="AA10" i="4"/>
  <c r="W10" i="4"/>
  <c r="K10" i="4"/>
  <c r="AA9" i="4"/>
  <c r="W9" i="4"/>
  <c r="K9" i="4"/>
  <c r="AA8" i="4"/>
  <c r="W8" i="4"/>
  <c r="K8" i="4"/>
  <c r="AA7" i="4"/>
  <c r="W7" i="4"/>
  <c r="K7" i="4"/>
  <c r="AA6" i="4"/>
  <c r="W6" i="4"/>
  <c r="K6" i="4"/>
  <c r="AA5" i="4"/>
  <c r="W5" i="4"/>
  <c r="K5" i="4"/>
  <c r="AA4" i="4"/>
  <c r="W4" i="4"/>
  <c r="K4" i="4"/>
  <c r="AA3" i="4"/>
  <c r="W3" i="4"/>
  <c r="K3" i="4"/>
  <c r="AA2" i="4"/>
  <c r="W2" i="4"/>
  <c r="K2" i="4"/>
</calcChain>
</file>

<file path=xl/sharedStrings.xml><?xml version="1.0" encoding="utf-8"?>
<sst xmlns="http://schemas.openxmlformats.org/spreadsheetml/2006/main" count="8492" uniqueCount="1718">
  <si>
    <t>ID</t>
  </si>
  <si>
    <t>species_code</t>
  </si>
  <si>
    <t>family</t>
  </si>
  <si>
    <t>genus</t>
  </si>
  <si>
    <t>species</t>
  </si>
  <si>
    <t>scientific_name</t>
  </si>
  <si>
    <t>native</t>
  </si>
  <si>
    <t>invasivity</t>
  </si>
  <si>
    <t>seRegion</t>
  </si>
  <si>
    <t>Max DBH</t>
  </si>
  <si>
    <t>diversity_level</t>
  </si>
  <si>
    <t>persistence</t>
  </si>
  <si>
    <t>native-range</t>
  </si>
  <si>
    <t>form</t>
  </si>
  <si>
    <t>species_rating</t>
  </si>
  <si>
    <t>shade_factor</t>
  </si>
  <si>
    <t>aldeur</t>
  </si>
  <si>
    <t>Betulaceae</t>
  </si>
  <si>
    <t>Alder</t>
  </si>
  <si>
    <t>European Alder</t>
  </si>
  <si>
    <t>Alnus glutinosa</t>
  </si>
  <si>
    <t>no</t>
  </si>
  <si>
    <t>invasive</t>
  </si>
  <si>
    <t>introduced</t>
  </si>
  <si>
    <t>decidous</t>
  </si>
  <si>
    <t>Europe, North Africa, Western Asia, Siberia</t>
  </si>
  <si>
    <t>T</t>
  </si>
  <si>
    <t>aldwhi</t>
  </si>
  <si>
    <t>European White Alder</t>
  </si>
  <si>
    <t>Alnus incana</t>
  </si>
  <si>
    <t>non-invasive</t>
  </si>
  <si>
    <t>Europe, Caucasus</t>
  </si>
  <si>
    <t>aldspe</t>
  </si>
  <si>
    <t>Speckled Alder</t>
  </si>
  <si>
    <t>Alnus rugosa</t>
  </si>
  <si>
    <t>yes</t>
  </si>
  <si>
    <t>Canada, Northern U.S.A</t>
  </si>
  <si>
    <t>aldspp</t>
  </si>
  <si>
    <t>Alder species</t>
  </si>
  <si>
    <t>Alnus spp</t>
  </si>
  <si>
    <t>n/a</t>
  </si>
  <si>
    <t>appcom</t>
  </si>
  <si>
    <t>Rosaceae</t>
  </si>
  <si>
    <t>Apple</t>
  </si>
  <si>
    <t>Common Apple</t>
  </si>
  <si>
    <t>Malus domestica</t>
  </si>
  <si>
    <t>Europe and Western Asia</t>
  </si>
  <si>
    <t>appspp</t>
  </si>
  <si>
    <t>Apple species</t>
  </si>
  <si>
    <t>Malus spp</t>
  </si>
  <si>
    <t>crawil</t>
  </si>
  <si>
    <t>Apple/Crabapple</t>
  </si>
  <si>
    <t>Wild Crab</t>
  </si>
  <si>
    <t>Malus coronaria</t>
  </si>
  <si>
    <t>Southern Ontario, Eastern U.S.A.</t>
  </si>
  <si>
    <t>appcra</t>
  </si>
  <si>
    <t>Crabapple</t>
  </si>
  <si>
    <t>Malus hybrids</t>
  </si>
  <si>
    <t>Various</t>
  </si>
  <si>
    <t>crajap</t>
  </si>
  <si>
    <t>Japanese Crabapple(s)</t>
  </si>
  <si>
    <t>Malus x floribunda</t>
  </si>
  <si>
    <t>aprico</t>
  </si>
  <si>
    <t>Apricot</t>
  </si>
  <si>
    <t>Prunus armeniaca</t>
  </si>
  <si>
    <t>Europe</t>
  </si>
  <si>
    <t>ashwhi</t>
  </si>
  <si>
    <t>Oleaceae</t>
  </si>
  <si>
    <t>Ash</t>
  </si>
  <si>
    <t>White Ash</t>
  </si>
  <si>
    <t>Fraxinus americana</t>
  </si>
  <si>
    <t>North-East US</t>
  </si>
  <si>
    <t>asheur</t>
  </si>
  <si>
    <t>Europen Ash</t>
  </si>
  <si>
    <t>Fraxinus excelsior</t>
  </si>
  <si>
    <t>Europe, SW Asia</t>
  </si>
  <si>
    <t>ashman</t>
  </si>
  <si>
    <t>Manchurian Ash</t>
  </si>
  <si>
    <t>Fraxinus mandshurica</t>
  </si>
  <si>
    <t>ashbla</t>
  </si>
  <si>
    <t>Black Ash</t>
  </si>
  <si>
    <t>Fraxinus nigra</t>
  </si>
  <si>
    <t>Southeastern Ontario, Northeastern USA</t>
  </si>
  <si>
    <t>ashgre</t>
  </si>
  <si>
    <t>Green Ash</t>
  </si>
  <si>
    <t>Fraxinus pennsylvanica</t>
  </si>
  <si>
    <t>Great Lakes-St. Lawrence and Acadian Forest region and the South-Western prairies</t>
  </si>
  <si>
    <t>ashblu</t>
  </si>
  <si>
    <t>Blue Ash</t>
  </si>
  <si>
    <t>Fraxinus quadrangulata</t>
  </si>
  <si>
    <t>Michigan, Arkansas, Tennessee</t>
  </si>
  <si>
    <t>ashspp</t>
  </si>
  <si>
    <t>Ash species</t>
  </si>
  <si>
    <t>Fraxinus spp</t>
  </si>
  <si>
    <t>beeame</t>
  </si>
  <si>
    <t>Fagaceae</t>
  </si>
  <si>
    <t>Beech</t>
  </si>
  <si>
    <t>American Beech</t>
  </si>
  <si>
    <t>Fagus grandifolia</t>
  </si>
  <si>
    <t>Eastern North America</t>
  </si>
  <si>
    <t>beespp</t>
  </si>
  <si>
    <t>Beech species</t>
  </si>
  <si>
    <t>Fagus spp</t>
  </si>
  <si>
    <t>beeeur</t>
  </si>
  <si>
    <t>European Beech</t>
  </si>
  <si>
    <t>Fagus sylvatica</t>
  </si>
  <si>
    <t>birhim</t>
  </si>
  <si>
    <t>Birch</t>
  </si>
  <si>
    <t>Whitebarked Himalayan</t>
  </si>
  <si>
    <t>Betula  jacquemontii</t>
  </si>
  <si>
    <t>NW Himalayas, Nepal</t>
  </si>
  <si>
    <t>biryel</t>
  </si>
  <si>
    <t>Yellow Birch</t>
  </si>
  <si>
    <t>Betula alleghaniensis</t>
  </si>
  <si>
    <t>SE Canada, NE U.S.A.</t>
  </si>
  <si>
    <t>birche</t>
  </si>
  <si>
    <t>Cherry Birch</t>
  </si>
  <si>
    <t>Betula lenta</t>
  </si>
  <si>
    <t>Eastern U.S.A.</t>
  </si>
  <si>
    <t>birala</t>
  </si>
  <si>
    <t>Alaskan Birch</t>
  </si>
  <si>
    <t>Betula neoalaskana</t>
  </si>
  <si>
    <t>North America: Across Canada</t>
  </si>
  <si>
    <t>birriv</t>
  </si>
  <si>
    <t>River Birch</t>
  </si>
  <si>
    <t>Betula occidentalis</t>
  </si>
  <si>
    <t>birwhi</t>
  </si>
  <si>
    <t>White Birch</t>
  </si>
  <si>
    <t>Betula papyrifera</t>
  </si>
  <si>
    <t>bireur</t>
  </si>
  <si>
    <t>European White Birch</t>
  </si>
  <si>
    <t>Betula pendula</t>
  </si>
  <si>
    <t>Europe, SW Asia, N. Africa</t>
  </si>
  <si>
    <t>birgra</t>
  </si>
  <si>
    <t>Gray Birch</t>
  </si>
  <si>
    <t>Betula populifolia</t>
  </si>
  <si>
    <t>SE Canada</t>
  </si>
  <si>
    <t>birspp</t>
  </si>
  <si>
    <t>Birch species</t>
  </si>
  <si>
    <t>Betula spp</t>
  </si>
  <si>
    <t>locbla</t>
  </si>
  <si>
    <t>Fabaceae</t>
  </si>
  <si>
    <t>Black Locust</t>
  </si>
  <si>
    <t>Robinia pseudoacacia</t>
  </si>
  <si>
    <t>Eastern US</t>
  </si>
  <si>
    <t>bucyel</t>
  </si>
  <si>
    <t>Hippocastanaceae</t>
  </si>
  <si>
    <t>Buckeye/Horsechestnut</t>
  </si>
  <si>
    <t>Yellow Buckeye</t>
  </si>
  <si>
    <t>Aesculus flava</t>
  </si>
  <si>
    <t>Eastern USA</t>
  </si>
  <si>
    <t>bucohi</t>
  </si>
  <si>
    <t>Ohio Buckeye</t>
  </si>
  <si>
    <t>Aesculus glabra</t>
  </si>
  <si>
    <t>Southern Tip of Ontario, USA</t>
  </si>
  <si>
    <t>horcom</t>
  </si>
  <si>
    <t>Common Horsechestnut</t>
  </si>
  <si>
    <t>Aesculus hippocastanum</t>
  </si>
  <si>
    <t>Balkan Peninsula in Southeastern Europe</t>
  </si>
  <si>
    <t>bucswe</t>
  </si>
  <si>
    <t>Sweet Buckeye</t>
  </si>
  <si>
    <t>Aesculus octandra</t>
  </si>
  <si>
    <t>Pennsylvania to Tennessee and norhtern Georgia, west to Ohio and Illinois</t>
  </si>
  <si>
    <t>bucred</t>
  </si>
  <si>
    <t>Red Buckeye</t>
  </si>
  <si>
    <t>Aesculus pavia</t>
  </si>
  <si>
    <t>Southeastern USA</t>
  </si>
  <si>
    <t>horred</t>
  </si>
  <si>
    <t>Red Horsechestnut</t>
  </si>
  <si>
    <t>Aesculus x carnea</t>
  </si>
  <si>
    <t>Hybrid origin</t>
  </si>
  <si>
    <t>buhspp</t>
  </si>
  <si>
    <t>Buckeye spp</t>
  </si>
  <si>
    <t>Aesulus spp</t>
  </si>
  <si>
    <t>buceur</t>
  </si>
  <si>
    <t>Rhamnaceae</t>
  </si>
  <si>
    <t>Buckthorn</t>
  </si>
  <si>
    <t>Alder Buckthorn</t>
  </si>
  <si>
    <t>Rhamnus cathartica</t>
  </si>
  <si>
    <t>Europe, Western and Northern Asia</t>
  </si>
  <si>
    <t>bucspp</t>
  </si>
  <si>
    <t>Rhamnus spp</t>
  </si>
  <si>
    <t>catsou</t>
  </si>
  <si>
    <t>Bignoniaceae</t>
  </si>
  <si>
    <t>Catalpa</t>
  </si>
  <si>
    <t>Southern Catalpa</t>
  </si>
  <si>
    <t>Catalpa bignonioides</t>
  </si>
  <si>
    <t>Southern U.S.A.</t>
  </si>
  <si>
    <t>catchi</t>
  </si>
  <si>
    <t>Chinese Catalpa</t>
  </si>
  <si>
    <t>Catalpa ovata</t>
  </si>
  <si>
    <t>China</t>
  </si>
  <si>
    <t>catnor</t>
  </si>
  <si>
    <t>Northern Catalpa</t>
  </si>
  <si>
    <t>Catalpa speciosa</t>
  </si>
  <si>
    <t>Central Mississippi Valley</t>
  </si>
  <si>
    <t>catspp</t>
  </si>
  <si>
    <t>Catalpa species</t>
  </si>
  <si>
    <t>Catalpa spp</t>
  </si>
  <si>
    <t>cedwhi</t>
  </si>
  <si>
    <t>Cupressaceae</t>
  </si>
  <si>
    <t>Cedar (Thuja)</t>
  </si>
  <si>
    <t>Eastern White Cedar</t>
  </si>
  <si>
    <t>Thuja occidentalis</t>
  </si>
  <si>
    <t>evergreen</t>
  </si>
  <si>
    <t>South-Eastern Canada</t>
  </si>
  <si>
    <t>cedori</t>
  </si>
  <si>
    <t>Oriental Cedar</t>
  </si>
  <si>
    <t>Thuja orientalis</t>
  </si>
  <si>
    <t>cedwes</t>
  </si>
  <si>
    <t>Western Red Cedar</t>
  </si>
  <si>
    <t>Thuja plicata</t>
  </si>
  <si>
    <t>Pacific Coast</t>
  </si>
  <si>
    <t>cedspp</t>
  </si>
  <si>
    <t>Thuja spp</t>
  </si>
  <si>
    <t>poorce</t>
  </si>
  <si>
    <t>Chamaecyparis</t>
  </si>
  <si>
    <t>Port Orford Cedar</t>
  </si>
  <si>
    <t>Chamaecyparis lawsoniana</t>
  </si>
  <si>
    <t>pluame</t>
  </si>
  <si>
    <t>Cherry/Plum</t>
  </si>
  <si>
    <t>American Plum</t>
  </si>
  <si>
    <t>Prunus americana</t>
  </si>
  <si>
    <t>Central North America</t>
  </si>
  <si>
    <t>chefru</t>
  </si>
  <si>
    <t>Cherry (Fruit)</t>
  </si>
  <si>
    <t>Prunus avium</t>
  </si>
  <si>
    <t>Europe, Western Asia</t>
  </si>
  <si>
    <t>plumyr</t>
  </si>
  <si>
    <t>Myrobalan Plum</t>
  </si>
  <si>
    <t>Prunus cersifera</t>
  </si>
  <si>
    <t>plucan</t>
  </si>
  <si>
    <t>Canada Plum</t>
  </si>
  <si>
    <t>Prunus nigra</t>
  </si>
  <si>
    <t>cheeur</t>
  </si>
  <si>
    <t>European Bird Cherry</t>
  </si>
  <si>
    <t>Prunus padus</t>
  </si>
  <si>
    <t>Europe and Northwest Asia</t>
  </si>
  <si>
    <t>chepin</t>
  </si>
  <si>
    <t>Pin Cherry</t>
  </si>
  <si>
    <t>Prunus pennsylvanica</t>
  </si>
  <si>
    <t>Canada, NE U.S.A.</t>
  </si>
  <si>
    <t>chesar</t>
  </si>
  <si>
    <t>Sargent Cherry</t>
  </si>
  <si>
    <t>Prunus sargentii</t>
  </si>
  <si>
    <t>chebla</t>
  </si>
  <si>
    <t>Black Cherry</t>
  </si>
  <si>
    <t>Prunus serotina</t>
  </si>
  <si>
    <t>North-Eastern US</t>
  </si>
  <si>
    <t>cheori</t>
  </si>
  <si>
    <t>Oriental Cherry</t>
  </si>
  <si>
    <t>Prunus serrulata</t>
  </si>
  <si>
    <t>China, Japan</t>
  </si>
  <si>
    <t>chespp</t>
  </si>
  <si>
    <t>Cherry species</t>
  </si>
  <si>
    <t>Prunus spp</t>
  </si>
  <si>
    <t>pruspp</t>
  </si>
  <si>
    <t>Cherry/Plum species</t>
  </si>
  <si>
    <t>flodou</t>
  </si>
  <si>
    <t>Double Flowering Plum</t>
  </si>
  <si>
    <t>Prunus triloba</t>
  </si>
  <si>
    <t>checho</t>
  </si>
  <si>
    <t>Choke Cherry</t>
  </si>
  <si>
    <t>Prunus virginiana</t>
  </si>
  <si>
    <t>North America</t>
  </si>
  <si>
    <t>chepur</t>
  </si>
  <si>
    <t>Purpleleaf Sand Cherry</t>
  </si>
  <si>
    <t>Prunus x cistena</t>
  </si>
  <si>
    <t>chehug</t>
  </si>
  <si>
    <t>Hugan Cherry</t>
  </si>
  <si>
    <t>Prunus x subhitrella</t>
  </si>
  <si>
    <t>cheame</t>
  </si>
  <si>
    <t>Chestnut</t>
  </si>
  <si>
    <t>American Chestnut</t>
  </si>
  <si>
    <t>Castanea dentata</t>
  </si>
  <si>
    <t>chechi</t>
  </si>
  <si>
    <t>Chinese Chestnut</t>
  </si>
  <si>
    <t>Castanea mollissima</t>
  </si>
  <si>
    <t>China, Korea</t>
  </si>
  <si>
    <t>cnutspp</t>
  </si>
  <si>
    <t>Chestnut species</t>
  </si>
  <si>
    <t>Castanea spp</t>
  </si>
  <si>
    <t>cofken</t>
  </si>
  <si>
    <t>Coffetree</t>
  </si>
  <si>
    <t>Kentucky Coffetree</t>
  </si>
  <si>
    <t>Gymnocladus dioicus</t>
  </si>
  <si>
    <t>North America: Carolinian and surrounding areas</t>
  </si>
  <si>
    <t>cedjap</t>
  </si>
  <si>
    <t>Taxodiaceae</t>
  </si>
  <si>
    <t>Cryptomeria</t>
  </si>
  <si>
    <t>Japanise Ceder</t>
  </si>
  <si>
    <t>Cryptomeria japonica</t>
  </si>
  <si>
    <t>Japan</t>
  </si>
  <si>
    <t>dead</t>
  </si>
  <si>
    <t>dead tree</t>
  </si>
  <si>
    <t>other</t>
  </si>
  <si>
    <t>dogalt</t>
  </si>
  <si>
    <t>Cornaceae</t>
  </si>
  <si>
    <t>Dogwood</t>
  </si>
  <si>
    <t>Alternate-Leaf Dogwood</t>
  </si>
  <si>
    <t>Cornus alternifolia</t>
  </si>
  <si>
    <t>dogflo</t>
  </si>
  <si>
    <t>Eastern Flowering Dogwood</t>
  </si>
  <si>
    <t>Cornus florida</t>
  </si>
  <si>
    <t>dogchi</t>
  </si>
  <si>
    <t>Chinese Dogwood</t>
  </si>
  <si>
    <t>Cornus kousa</t>
  </si>
  <si>
    <t>Eastern Asia</t>
  </si>
  <si>
    <t>dogcor</t>
  </si>
  <si>
    <t>Cornelian cherry dogwood</t>
  </si>
  <si>
    <t>Cornus mas</t>
  </si>
  <si>
    <t>doggra</t>
  </si>
  <si>
    <t>Gray Dogwood</t>
  </si>
  <si>
    <t>Cornus racemosa</t>
  </si>
  <si>
    <t>dogspp</t>
  </si>
  <si>
    <t>Dogwood species</t>
  </si>
  <si>
    <t>Cornus spp</t>
  </si>
  <si>
    <t>dogred</t>
  </si>
  <si>
    <t>Red Osier Dogwood</t>
  </si>
  <si>
    <t>Cornus stolonifera</t>
  </si>
  <si>
    <t>firdou</t>
  </si>
  <si>
    <t>Pinaceae</t>
  </si>
  <si>
    <t>Douglas Fir</t>
  </si>
  <si>
    <t>Pseudotsuga menziesii</t>
  </si>
  <si>
    <t>Weatern North America</t>
  </si>
  <si>
    <t>elmame</t>
  </si>
  <si>
    <t>Ulmaceae</t>
  </si>
  <si>
    <t>Elm</t>
  </si>
  <si>
    <t>American Elm</t>
  </si>
  <si>
    <t>Ulmus americana</t>
  </si>
  <si>
    <t>elmjer</t>
  </si>
  <si>
    <t>Jersey Elm</t>
  </si>
  <si>
    <t>Ulmus carpinifolia</t>
  </si>
  <si>
    <t>Europe, North Africa and Southwest Asia</t>
  </si>
  <si>
    <t>elmsco</t>
  </si>
  <si>
    <t>Scotch Elm</t>
  </si>
  <si>
    <t>Ulmus glabra</t>
  </si>
  <si>
    <t>elmchi</t>
  </si>
  <si>
    <t>Chinese Elm</t>
  </si>
  <si>
    <t>Ulmus parvifolia</t>
  </si>
  <si>
    <t>Asia</t>
  </si>
  <si>
    <t>elmeng</t>
  </si>
  <si>
    <t>English Elm</t>
  </si>
  <si>
    <t>Ulmus procera</t>
  </si>
  <si>
    <t>Great Britain, Western Europe</t>
  </si>
  <si>
    <t>elmsib</t>
  </si>
  <si>
    <t>Siberian Elm</t>
  </si>
  <si>
    <t>Ulmus pumila</t>
  </si>
  <si>
    <t>Northeastern Asia</t>
  </si>
  <si>
    <t>elmsli</t>
  </si>
  <si>
    <t>Slippery Elm</t>
  </si>
  <si>
    <t>Ulmus rubra</t>
  </si>
  <si>
    <t>Southern Ontario &amp; Quebec, Central -Eastern U.S.A.</t>
  </si>
  <si>
    <t>elmspp</t>
  </si>
  <si>
    <t>Elm species</t>
  </si>
  <si>
    <t>Ulmus spp</t>
  </si>
  <si>
    <t>elmroc</t>
  </si>
  <si>
    <t>Rock Elm</t>
  </si>
  <si>
    <t>Ulmus thomasii</t>
  </si>
  <si>
    <t>Southern Ontario, Central U.S.A.</t>
  </si>
  <si>
    <t>elmdut</t>
  </si>
  <si>
    <t>Dutch Elm</t>
  </si>
  <si>
    <t>Ulmus x holandica</t>
  </si>
  <si>
    <t>elmcam</t>
  </si>
  <si>
    <t>Camperdown Elm</t>
  </si>
  <si>
    <t>Ulmus x vegata</t>
  </si>
  <si>
    <t>cedyel</t>
  </si>
  <si>
    <t>False Cypress</t>
  </si>
  <si>
    <t>Yellow Cedar</t>
  </si>
  <si>
    <t>Chamaecyparis nootkatensis</t>
  </si>
  <si>
    <t>firbal</t>
  </si>
  <si>
    <t>Fir</t>
  </si>
  <si>
    <t>Balsam Fir</t>
  </si>
  <si>
    <t>Abies balsamea</t>
  </si>
  <si>
    <t>Central and Eastern Canada</t>
  </si>
  <si>
    <t>firwhi</t>
  </si>
  <si>
    <t>White Fir</t>
  </si>
  <si>
    <t>Abies concolor</t>
  </si>
  <si>
    <t>Western USA, Northern Mexico</t>
  </si>
  <si>
    <t>firfra</t>
  </si>
  <si>
    <t>Fraser Fir</t>
  </si>
  <si>
    <t>Abies fraseri</t>
  </si>
  <si>
    <t>North America: West Virginia, Tennessee, and North Carolina</t>
  </si>
  <si>
    <t>firgra</t>
  </si>
  <si>
    <t>Grand Fir</t>
  </si>
  <si>
    <t>Abies grandis</t>
  </si>
  <si>
    <t>North America: Coastal and interior forests of Southern British Columbia,  Coastal and interior forest of Western  USA</t>
  </si>
  <si>
    <t>firspp</t>
  </si>
  <si>
    <t>Fir species</t>
  </si>
  <si>
    <t>Abies spp</t>
  </si>
  <si>
    <t>forest</t>
  </si>
  <si>
    <t>ginkgo</t>
  </si>
  <si>
    <t>Ginkgoaceae</t>
  </si>
  <si>
    <t>Ginkgo</t>
  </si>
  <si>
    <t>Ginkgo biloba</t>
  </si>
  <si>
    <t>raintr</t>
  </si>
  <si>
    <t>Sapindaceae</t>
  </si>
  <si>
    <t>Goldenrain Tree</t>
  </si>
  <si>
    <t>Koelreuteria paniculata</t>
  </si>
  <si>
    <t>Southern Europe</t>
  </si>
  <si>
    <t>gumbla</t>
  </si>
  <si>
    <t>Nyssaceae</t>
  </si>
  <si>
    <t>Gum</t>
  </si>
  <si>
    <t>Black Gum</t>
  </si>
  <si>
    <t>Nyssa sylvatica</t>
  </si>
  <si>
    <t>Eeastern North America</t>
  </si>
  <si>
    <t>hacber</t>
  </si>
  <si>
    <t>Hackberry</t>
  </si>
  <si>
    <t>Celtis occidentalis</t>
  </si>
  <si>
    <t>Southern Ontario, Quebec, USA</t>
  </si>
  <si>
    <t>hawlav</t>
  </si>
  <si>
    <t>Hawthorn</t>
  </si>
  <si>
    <t>Lavalle Hawthorn</t>
  </si>
  <si>
    <t>Crataegus  x  lavallei</t>
  </si>
  <si>
    <t>hawsca</t>
  </si>
  <si>
    <t>Scarlet Hawthorn</t>
  </si>
  <si>
    <t>Crataegus coccinea</t>
  </si>
  <si>
    <t>hawcoc</t>
  </si>
  <si>
    <t>Cockspur Hawthorn</t>
  </si>
  <si>
    <t>Crataegus crus-galli</t>
  </si>
  <si>
    <t>Southern Quebec, Ontario, Eastern USA</t>
  </si>
  <si>
    <t>hawdow</t>
  </si>
  <si>
    <t>Downy Hawthorn</t>
  </si>
  <si>
    <t>Crataegus molis</t>
  </si>
  <si>
    <t>Central USA</t>
  </si>
  <si>
    <t>hawsin</t>
  </si>
  <si>
    <t>Singleseed Hawthorne</t>
  </si>
  <si>
    <t>Crataegus monogyna</t>
  </si>
  <si>
    <t>haweng</t>
  </si>
  <si>
    <t>English Hawthorn</t>
  </si>
  <si>
    <t>Crataegus oxyacantha</t>
  </si>
  <si>
    <t>hawspp</t>
  </si>
  <si>
    <t>Hawthorn species</t>
  </si>
  <si>
    <t>Crataegus spp</t>
  </si>
  <si>
    <t>haznut</t>
  </si>
  <si>
    <t>Hazel</t>
  </si>
  <si>
    <t>Hazel Nuts</t>
  </si>
  <si>
    <t>Corylus americana</t>
  </si>
  <si>
    <t>Eastern North America: Canada, USA</t>
  </si>
  <si>
    <t>haztur</t>
  </si>
  <si>
    <t>Turkish Hazelnut</t>
  </si>
  <si>
    <t>Corylus colurna</t>
  </si>
  <si>
    <t>Southeastern Europe, Western Asis</t>
  </si>
  <si>
    <t>hedge</t>
  </si>
  <si>
    <t>hemeas</t>
  </si>
  <si>
    <t>Hemlock</t>
  </si>
  <si>
    <t>Eastern Hemlock</t>
  </si>
  <si>
    <t>Tsuga canadensis</t>
  </si>
  <si>
    <t>Eastern Canada</t>
  </si>
  <si>
    <t>hicbit</t>
  </si>
  <si>
    <t>Juglandaceae</t>
  </si>
  <si>
    <t>Hickory</t>
  </si>
  <si>
    <t>Bitternut Hickory</t>
  </si>
  <si>
    <t>Carya cordiformis</t>
  </si>
  <si>
    <t>southern Ontario &amp; Quebec, Central-Eastern USA</t>
  </si>
  <si>
    <t>hicpig</t>
  </si>
  <si>
    <t>Pignut Hickory</t>
  </si>
  <si>
    <t>Carya glabra</t>
  </si>
  <si>
    <t>Maine to Southern Ontario, South to Florida, Alabama and Mississippi</t>
  </si>
  <si>
    <t>hicshe</t>
  </si>
  <si>
    <t>Big Shellbark Hickory</t>
  </si>
  <si>
    <t>Carya laciniosa</t>
  </si>
  <si>
    <t>Southern Tip of Ontario, Central USA</t>
  </si>
  <si>
    <t>hicsha</t>
  </si>
  <si>
    <t>Shagbark Hickory</t>
  </si>
  <si>
    <t>Carya ovata</t>
  </si>
  <si>
    <t>Southern Ontario along the St. Lawrence River to Quebec, USA</t>
  </si>
  <si>
    <t>hicspp</t>
  </si>
  <si>
    <t>Hickory species</t>
  </si>
  <si>
    <t>Carya spp</t>
  </si>
  <si>
    <t>holly</t>
  </si>
  <si>
    <t>Aquifoliaceae</t>
  </si>
  <si>
    <t>Ilex spp</t>
  </si>
  <si>
    <t>lochon</t>
  </si>
  <si>
    <t>Honey Locust</t>
  </si>
  <si>
    <t>Gleditsia triacanthos</t>
  </si>
  <si>
    <t>honfly</t>
  </si>
  <si>
    <t>Caprifoliaceae</t>
  </si>
  <si>
    <t>Honeysuckle</t>
  </si>
  <si>
    <t>Fly Honeysuckle</t>
  </si>
  <si>
    <t>Lonicera canadensis</t>
  </si>
  <si>
    <t>hoptre</t>
  </si>
  <si>
    <t>Rutaceae</t>
  </si>
  <si>
    <t>Hop</t>
  </si>
  <si>
    <t>Hope Tree</t>
  </si>
  <si>
    <t>Ptelea trifoliata</t>
  </si>
  <si>
    <t>Southwestern Ontario, USA</t>
  </si>
  <si>
    <t>ironwo</t>
  </si>
  <si>
    <t>Ironwood</t>
  </si>
  <si>
    <t>Ostrya virginiana</t>
  </si>
  <si>
    <t>horeur</t>
  </si>
  <si>
    <t>Ironwood-Hornbeam</t>
  </si>
  <si>
    <t>European Hornbeam</t>
  </si>
  <si>
    <t>Carpinus betulus</t>
  </si>
  <si>
    <t>Europe, Asia Minor, Southeast of England</t>
  </si>
  <si>
    <t>beeblu</t>
  </si>
  <si>
    <t>Blue Beech</t>
  </si>
  <si>
    <t>Carpinus caroliniana</t>
  </si>
  <si>
    <t>horspp</t>
  </si>
  <si>
    <t>Hornbeam Species</t>
  </si>
  <si>
    <t>Carpinus spp</t>
  </si>
  <si>
    <t>junspp</t>
  </si>
  <si>
    <t>Juniper</t>
  </si>
  <si>
    <t>Juniper species</t>
  </si>
  <si>
    <t>Juniper spp</t>
  </si>
  <si>
    <t>junchi</t>
  </si>
  <si>
    <t>Chinese Juniper</t>
  </si>
  <si>
    <t>Juniperus chinensis</t>
  </si>
  <si>
    <t>juncom</t>
  </si>
  <si>
    <t>Common juniper</t>
  </si>
  <si>
    <t>Juniperus communis</t>
  </si>
  <si>
    <t>juncre</t>
  </si>
  <si>
    <t>Creeping Juniper</t>
  </si>
  <si>
    <t>Juniperus horizontalis</t>
  </si>
  <si>
    <t>junsav</t>
  </si>
  <si>
    <t>Savin Juniper</t>
  </si>
  <si>
    <t>Juniperus sabina</t>
  </si>
  <si>
    <t>cedred</t>
  </si>
  <si>
    <t>Red Cedar</t>
  </si>
  <si>
    <t>Juniperus virginiana</t>
  </si>
  <si>
    <t>South-Eastern Ontario</t>
  </si>
  <si>
    <t>kalopa</t>
  </si>
  <si>
    <t>Araliaceae</t>
  </si>
  <si>
    <t>Kalopanax</t>
  </si>
  <si>
    <t>Kalopanax pictus</t>
  </si>
  <si>
    <t>China, Manchuria, and Japan</t>
  </si>
  <si>
    <t>katsur</t>
  </si>
  <si>
    <t>Cercidiphyllaceae</t>
  </si>
  <si>
    <t>Katsura</t>
  </si>
  <si>
    <t>Katsura Tree</t>
  </si>
  <si>
    <t>Cercidiphyllum japonicum</t>
  </si>
  <si>
    <t>golcha</t>
  </si>
  <si>
    <t>Laburnum</t>
  </si>
  <si>
    <t>Goldenchain Tree</t>
  </si>
  <si>
    <t>Laburnum anagyroides</t>
  </si>
  <si>
    <t>lareuo</t>
  </si>
  <si>
    <t>Larch</t>
  </si>
  <si>
    <t>Euopean Larch</t>
  </si>
  <si>
    <t>Larix decidua</t>
  </si>
  <si>
    <t>tamara</t>
  </si>
  <si>
    <t>Tamarack</t>
  </si>
  <si>
    <t>Larix laricina</t>
  </si>
  <si>
    <t>Across Canada, North-Eastern US</t>
  </si>
  <si>
    <t>larjap</t>
  </si>
  <si>
    <t>Japanese Larch</t>
  </si>
  <si>
    <t>Larix leptolepis</t>
  </si>
  <si>
    <t>larspp</t>
  </si>
  <si>
    <t>Larch species</t>
  </si>
  <si>
    <t>Larix spp</t>
  </si>
  <si>
    <t>liljap</t>
  </si>
  <si>
    <t>Lilac</t>
  </si>
  <si>
    <t>Japanese Tree Lilac</t>
  </si>
  <si>
    <t>Syringa reticulata</t>
  </si>
  <si>
    <t>lilspp</t>
  </si>
  <si>
    <t>Lilac species</t>
  </si>
  <si>
    <t>Syringa spp</t>
  </si>
  <si>
    <t>lilcom</t>
  </si>
  <si>
    <t>Common Lilac</t>
  </si>
  <si>
    <t>Syringa vulgaris</t>
  </si>
  <si>
    <t>Southeast Europe</t>
  </si>
  <si>
    <t>basswo</t>
  </si>
  <si>
    <t>Tiliaceae</t>
  </si>
  <si>
    <t>Linden-Basswood</t>
  </si>
  <si>
    <t>Basswood</t>
  </si>
  <si>
    <t>Tilia americana</t>
  </si>
  <si>
    <t>linlit</t>
  </si>
  <si>
    <t>Little-Leaf Linden</t>
  </si>
  <si>
    <t>Tilia cordata</t>
  </si>
  <si>
    <t>linbig</t>
  </si>
  <si>
    <t>Bigleaf Linden</t>
  </si>
  <si>
    <t>Tilia platyphyllos</t>
  </si>
  <si>
    <t>linspp</t>
  </si>
  <si>
    <t>Linden species</t>
  </si>
  <si>
    <t>Tilia spp</t>
  </si>
  <si>
    <t>linsil</t>
  </si>
  <si>
    <t>Silver Linden</t>
  </si>
  <si>
    <t>Tilia tomentosa</t>
  </si>
  <si>
    <t>Southeast Asia, Asia</t>
  </si>
  <si>
    <t>lineur</t>
  </si>
  <si>
    <t>European Linden</t>
  </si>
  <si>
    <t>Tilia x europaea</t>
  </si>
  <si>
    <t>linhyb</t>
  </si>
  <si>
    <t>Hybrid Little-Leaf Linden</t>
  </si>
  <si>
    <t>Tilia x flavescens</t>
  </si>
  <si>
    <t>honspp</t>
  </si>
  <si>
    <t>Lonicera</t>
  </si>
  <si>
    <t>Honeysuckle species</t>
  </si>
  <si>
    <t>Lonicera spp</t>
  </si>
  <si>
    <t>amumak</t>
  </si>
  <si>
    <t>Maakia</t>
  </si>
  <si>
    <t>Amur Maackia</t>
  </si>
  <si>
    <t>Maackia amurensis</t>
  </si>
  <si>
    <t>magsau</t>
  </si>
  <si>
    <t>Magnoliaceae</t>
  </si>
  <si>
    <t>Magnolia</t>
  </si>
  <si>
    <t>Saucer Magnolia</t>
  </si>
  <si>
    <t>Magnolia  x  soulangeana</t>
  </si>
  <si>
    <t>cucumb</t>
  </si>
  <si>
    <t>Cucumber Tree</t>
  </si>
  <si>
    <t>Magnolia acuminata</t>
  </si>
  <si>
    <t>magspp</t>
  </si>
  <si>
    <t>Magnolia species</t>
  </si>
  <si>
    <t>Magnolia spp</t>
  </si>
  <si>
    <t>magsta</t>
  </si>
  <si>
    <t>Star Magnolia</t>
  </si>
  <si>
    <t>Magnolia stellata</t>
  </si>
  <si>
    <t>magumb</t>
  </si>
  <si>
    <t>Umbrella Magnolia</t>
  </si>
  <si>
    <t>Magnolia tripetala</t>
  </si>
  <si>
    <t>Pennsylvania to Alabama and Mississippi</t>
  </si>
  <si>
    <t>maphed</t>
  </si>
  <si>
    <t>Aceraceae</t>
  </si>
  <si>
    <t>Maple</t>
  </si>
  <si>
    <t>Hedge Maple</t>
  </si>
  <si>
    <t>Acer campestre</t>
  </si>
  <si>
    <t>Europe, Northern Turkey, Caucasus, Northern Iran</t>
  </si>
  <si>
    <t>mapamu</t>
  </si>
  <si>
    <t>Amur Maple</t>
  </si>
  <si>
    <t>Acer ginnala</t>
  </si>
  <si>
    <t>mappap</t>
  </si>
  <si>
    <t>Paperbark Maple</t>
  </si>
  <si>
    <t>Acer griseum</t>
  </si>
  <si>
    <t>mapman</t>
  </si>
  <si>
    <t>Manitoba Maple</t>
  </si>
  <si>
    <t>Acer negundo</t>
  </si>
  <si>
    <t>Naturalized beyond  its natural range.</t>
  </si>
  <si>
    <t>mapjap</t>
  </si>
  <si>
    <t>Japanese Maple</t>
  </si>
  <si>
    <t>Acer palmatum</t>
  </si>
  <si>
    <t>mapstr</t>
  </si>
  <si>
    <t>Striped Maple</t>
  </si>
  <si>
    <t>Acer pensylvanicum</t>
  </si>
  <si>
    <t>Quebec to Wisconsin, South to Northern Georgia; United States</t>
  </si>
  <si>
    <t>mapnor</t>
  </si>
  <si>
    <t>Norway Maple</t>
  </si>
  <si>
    <t>Acer platanoides</t>
  </si>
  <si>
    <t>mapsyc</t>
  </si>
  <si>
    <t>Sycamore Maple</t>
  </si>
  <si>
    <t>Acer pseudoplatanus</t>
  </si>
  <si>
    <t>Europe to Western Asia</t>
  </si>
  <si>
    <t>mapred</t>
  </si>
  <si>
    <t>Red Maple</t>
  </si>
  <si>
    <t>Acer rubrum</t>
  </si>
  <si>
    <t>South-Eastern US</t>
  </si>
  <si>
    <t>mapsil</t>
  </si>
  <si>
    <t>Silver Maple</t>
  </si>
  <si>
    <t>Acer saccharinum</t>
  </si>
  <si>
    <t>mapsug</t>
  </si>
  <si>
    <t>Sugar Maple</t>
  </si>
  <si>
    <t>Acer saccharum</t>
  </si>
  <si>
    <t>Maritime provinces, Southern Ontario and Quebec.</t>
  </si>
  <si>
    <t>mapbla</t>
  </si>
  <si>
    <t>Black Maple</t>
  </si>
  <si>
    <t>Acer saccharum ssppnigrum</t>
  </si>
  <si>
    <t>mapmou</t>
  </si>
  <si>
    <t>Mountain Maple</t>
  </si>
  <si>
    <t>Acer spicatum</t>
  </si>
  <si>
    <t>New Foundland South to Northern Georgia, West to East Saskatchewan, Northeast to Minnesota</t>
  </si>
  <si>
    <t>mapspp</t>
  </si>
  <si>
    <t>Maple species</t>
  </si>
  <si>
    <t>Acer spp</t>
  </si>
  <si>
    <t>maptat</t>
  </si>
  <si>
    <t>Tatarian Maple</t>
  </si>
  <si>
    <t>Acer tatricum</t>
  </si>
  <si>
    <t>mapfre</t>
  </si>
  <si>
    <t>Freman Maple</t>
  </si>
  <si>
    <t>Acer x freemanii</t>
  </si>
  <si>
    <t>hybrid</t>
  </si>
  <si>
    <t>moukor</t>
  </si>
  <si>
    <t>Mountin Ash/Whitebeam</t>
  </si>
  <si>
    <t>Korean Mountainash</t>
  </si>
  <si>
    <t>Sorbus alnifolia</t>
  </si>
  <si>
    <t>East Asia</t>
  </si>
  <si>
    <t>mouame</t>
  </si>
  <si>
    <t>American Mountainash</t>
  </si>
  <si>
    <t>Sorbus americana</t>
  </si>
  <si>
    <t>mouwhi</t>
  </si>
  <si>
    <t>Whitebeam Mountainash</t>
  </si>
  <si>
    <t>Sorbus aria</t>
  </si>
  <si>
    <t>moueur</t>
  </si>
  <si>
    <t>European Mountainash</t>
  </si>
  <si>
    <t>Sorbus aucuparia</t>
  </si>
  <si>
    <t>mousho</t>
  </si>
  <si>
    <t>Showy Mountainash</t>
  </si>
  <si>
    <t>Sorbus decora</t>
  </si>
  <si>
    <t>whiswe</t>
  </si>
  <si>
    <t>Swedish White Beam</t>
  </si>
  <si>
    <t>Sorbus intermedia</t>
  </si>
  <si>
    <t>mouchi</t>
  </si>
  <si>
    <t>Chinese Mountainash</t>
  </si>
  <si>
    <t>Sorbus pohuashanensis</t>
  </si>
  <si>
    <t>mouspp</t>
  </si>
  <si>
    <t>Mountin-Ash species</t>
  </si>
  <si>
    <t>Sorbus spp</t>
  </si>
  <si>
    <t>mouhyb</t>
  </si>
  <si>
    <t>Finnish Whitebeam</t>
  </si>
  <si>
    <t>Sorbus x hybrida</t>
  </si>
  <si>
    <t>moucut</t>
  </si>
  <si>
    <t>Cutleaf Mountainash</t>
  </si>
  <si>
    <t>Sorbus x thuringiaca</t>
  </si>
  <si>
    <t>mulwhi</t>
  </si>
  <si>
    <t>Moraceae</t>
  </si>
  <si>
    <t>Mulberry</t>
  </si>
  <si>
    <t>White Mulberry</t>
  </si>
  <si>
    <t>Morus alba</t>
  </si>
  <si>
    <t>mulbla</t>
  </si>
  <si>
    <t>Black Mulberry</t>
  </si>
  <si>
    <t>Morus nigra</t>
  </si>
  <si>
    <t>mulred</t>
  </si>
  <si>
    <t>Red Mulberry</t>
  </si>
  <si>
    <t>Morus rubra</t>
  </si>
  <si>
    <t>mulspp</t>
  </si>
  <si>
    <t>Mulberry species</t>
  </si>
  <si>
    <t>Morus spp</t>
  </si>
  <si>
    <t>stump</t>
  </si>
  <si>
    <t>oakwhi</t>
  </si>
  <si>
    <t>Oak</t>
  </si>
  <si>
    <t>White Oak</t>
  </si>
  <si>
    <t>Quercus alba</t>
  </si>
  <si>
    <t>oakswa</t>
  </si>
  <si>
    <t>Swamp White Oak</t>
  </si>
  <si>
    <t>Quercus bicolor</t>
  </si>
  <si>
    <t>oaksca</t>
  </si>
  <si>
    <t>Scarlet Oak</t>
  </si>
  <si>
    <t>Quercus coccinea</t>
  </si>
  <si>
    <t>oakmou</t>
  </si>
  <si>
    <t>Mountain Oak/Blue Oak</t>
  </si>
  <si>
    <t>Quercus douglasii</t>
  </si>
  <si>
    <t>oakhil</t>
  </si>
  <si>
    <t>Hill's Oak</t>
  </si>
  <si>
    <t>Quercus ellipsoidallis</t>
  </si>
  <si>
    <t>oakgar</t>
  </si>
  <si>
    <t>Garry Oak</t>
  </si>
  <si>
    <t>Quercus garryana</t>
  </si>
  <si>
    <t>British Colombia to California; United States</t>
  </si>
  <si>
    <t>oakshi</t>
  </si>
  <si>
    <t>Shingle Oak</t>
  </si>
  <si>
    <t>Quercus imbricaria</t>
  </si>
  <si>
    <t>oakbur</t>
  </si>
  <si>
    <t>Bur Oak</t>
  </si>
  <si>
    <t>Quercus macrocarpa</t>
  </si>
  <si>
    <t>oakchi</t>
  </si>
  <si>
    <t>Chinkapin Oak</t>
  </si>
  <si>
    <t>Quercus muehlenbergii</t>
  </si>
  <si>
    <t>oakpin</t>
  </si>
  <si>
    <t>Pin Oak</t>
  </si>
  <si>
    <t>Quercus palustris</t>
  </si>
  <si>
    <t>oakeng</t>
  </si>
  <si>
    <t>English Oak</t>
  </si>
  <si>
    <t>Quercus robur</t>
  </si>
  <si>
    <t>oakred</t>
  </si>
  <si>
    <t>Red Oak</t>
  </si>
  <si>
    <t>Quercus rubra</t>
  </si>
  <si>
    <t>Great Lake, St. Lawrence, Carolinian, North-Eastern US</t>
  </si>
  <si>
    <t>oakshu</t>
  </si>
  <si>
    <t>Shumard Oak</t>
  </si>
  <si>
    <t>Quercus shumardii</t>
  </si>
  <si>
    <t>oakspp</t>
  </si>
  <si>
    <t>Oak species</t>
  </si>
  <si>
    <t>Quercus spp</t>
  </si>
  <si>
    <t>oakbla</t>
  </si>
  <si>
    <t>Black Oak</t>
  </si>
  <si>
    <t>Quercus velutina</t>
  </si>
  <si>
    <t>oraosa</t>
  </si>
  <si>
    <t>Osage</t>
  </si>
  <si>
    <t>Osage Orange</t>
  </si>
  <si>
    <t>Maclura pomifera</t>
  </si>
  <si>
    <t>paulon</t>
  </si>
  <si>
    <t>Paulowniaceae</t>
  </si>
  <si>
    <t>Paulonia</t>
  </si>
  <si>
    <t>Paulonia / Princcess Tree</t>
  </si>
  <si>
    <t>Paulownia tomentosa</t>
  </si>
  <si>
    <t>pawpaw</t>
  </si>
  <si>
    <t>Annonaceae</t>
  </si>
  <si>
    <t>Pawpaw</t>
  </si>
  <si>
    <t>Asminia triloba</t>
  </si>
  <si>
    <t>peachs</t>
  </si>
  <si>
    <t>Peach</t>
  </si>
  <si>
    <t>peach</t>
  </si>
  <si>
    <t>Prunus persica</t>
  </si>
  <si>
    <t>peaflo</t>
  </si>
  <si>
    <t>Pear/Flowering Pear</t>
  </si>
  <si>
    <t>Flowering Pear</t>
  </si>
  <si>
    <t>Pyrus calleryana</t>
  </si>
  <si>
    <t>peacom</t>
  </si>
  <si>
    <t>Common Pear</t>
  </si>
  <si>
    <t>Pyrus communis</t>
  </si>
  <si>
    <t>peapea</t>
  </si>
  <si>
    <t>Pear/Flowering Pear species</t>
  </si>
  <si>
    <t>Pyrus spp</t>
  </si>
  <si>
    <t>peahar</t>
  </si>
  <si>
    <t>Harbin Pear</t>
  </si>
  <si>
    <t>Pyrus ussuriensis</t>
  </si>
  <si>
    <t>Northeast Asia</t>
  </si>
  <si>
    <t>peawee</t>
  </si>
  <si>
    <t>Peashrub</t>
  </si>
  <si>
    <t>Weeping Peashrub</t>
  </si>
  <si>
    <t>Caragana arborescens</t>
  </si>
  <si>
    <t>Siberia, Manchuria</t>
  </si>
  <si>
    <t>persim</t>
  </si>
  <si>
    <t>Ebenaceae</t>
  </si>
  <si>
    <t>Persimmon</t>
  </si>
  <si>
    <t>Diospyros virginiana</t>
  </si>
  <si>
    <t>coramu</t>
  </si>
  <si>
    <t>Phellodendron</t>
  </si>
  <si>
    <t>Amur Corktree</t>
  </si>
  <si>
    <t>Phellodendron amurense</t>
  </si>
  <si>
    <t>pinbri</t>
  </si>
  <si>
    <t>Pine</t>
  </si>
  <si>
    <t>Bristlecone Pine</t>
  </si>
  <si>
    <t>Pinus aristata</t>
  </si>
  <si>
    <t>Mountains, California to Colorado; United States</t>
  </si>
  <si>
    <t>pinjac</t>
  </si>
  <si>
    <t>Jack Pine</t>
  </si>
  <si>
    <t>Pinus banksiana</t>
  </si>
  <si>
    <t>North America: Nova Scotia to New York and Minnesota; United States</t>
  </si>
  <si>
    <t>pinwes</t>
  </si>
  <si>
    <t>Western White Pine</t>
  </si>
  <si>
    <t>Pinus monticola</t>
  </si>
  <si>
    <t>Pacific Northwest</t>
  </si>
  <si>
    <t>pinmug</t>
  </si>
  <si>
    <t>Mugo Pine</t>
  </si>
  <si>
    <t>Pinus mugo</t>
  </si>
  <si>
    <t>pinaus</t>
  </si>
  <si>
    <t>Austrian Pine</t>
  </si>
  <si>
    <t>Pinus nigra</t>
  </si>
  <si>
    <t>pinpon</t>
  </si>
  <si>
    <t>Ponderosa Pine</t>
  </si>
  <si>
    <t>Pinus ponderosa</t>
  </si>
  <si>
    <t>pinred</t>
  </si>
  <si>
    <t>Red Pine</t>
  </si>
  <si>
    <t>Pinus resinosa</t>
  </si>
  <si>
    <t>New Foundland to Pennsylvania and Minnesota; United States</t>
  </si>
  <si>
    <t>pinpit</t>
  </si>
  <si>
    <t>Pitch Pine</t>
  </si>
  <si>
    <t>Pinus rigida</t>
  </si>
  <si>
    <t>North Amerika: New Brunswick to Kentucky and California</t>
  </si>
  <si>
    <t>pinspp</t>
  </si>
  <si>
    <t>Pine species</t>
  </si>
  <si>
    <t>Pinus spp</t>
  </si>
  <si>
    <t>pinwhi</t>
  </si>
  <si>
    <t>White Pine</t>
  </si>
  <si>
    <t>Pinus strobus</t>
  </si>
  <si>
    <t>South-Eastern Canada, North-Eastern US</t>
  </si>
  <si>
    <t>pinsco</t>
  </si>
  <si>
    <t>Scot's Pine</t>
  </si>
  <si>
    <t>Pinus sylvestris</t>
  </si>
  <si>
    <t>Eurasia</t>
  </si>
  <si>
    <t>pinlob</t>
  </si>
  <si>
    <t>Loblolly Pine</t>
  </si>
  <si>
    <t>Pinus taeda</t>
  </si>
  <si>
    <t>pinhim</t>
  </si>
  <si>
    <t>Himalayan Pine</t>
  </si>
  <si>
    <t>Pinus wallichiana</t>
  </si>
  <si>
    <t>sycame</t>
  </si>
  <si>
    <t>Platanaceae</t>
  </si>
  <si>
    <t>Plane-Sycamore</t>
  </si>
  <si>
    <t>Sycamore</t>
  </si>
  <si>
    <t>Platanus occidentalis</t>
  </si>
  <si>
    <t>plaspp</t>
  </si>
  <si>
    <t>Plane-Sycamore species</t>
  </si>
  <si>
    <t>Platanus spp</t>
  </si>
  <si>
    <t>plalon</t>
  </si>
  <si>
    <t>London Plane</t>
  </si>
  <si>
    <t>Platanus x acerifolia</t>
  </si>
  <si>
    <t>x</t>
  </si>
  <si>
    <t>plantable spot</t>
  </si>
  <si>
    <t>popwhi</t>
  </si>
  <si>
    <t>Salicaceae</t>
  </si>
  <si>
    <t>Poplar</t>
  </si>
  <si>
    <t>European White Poplar</t>
  </si>
  <si>
    <t>Populus alba</t>
  </si>
  <si>
    <t>Wurope, N africa, West-Central Asia</t>
  </si>
  <si>
    <t>popbal</t>
  </si>
  <si>
    <t>Balsam Poplar</t>
  </si>
  <si>
    <t>Populus balsamifera</t>
  </si>
  <si>
    <t>Across Canada</t>
  </si>
  <si>
    <t>coteas</t>
  </si>
  <si>
    <t>Eastern Cottonwood</t>
  </si>
  <si>
    <t>Populus deltoides</t>
  </si>
  <si>
    <t>Central U.S.A., South Eastern Border of Canada</t>
  </si>
  <si>
    <t>asplar</t>
  </si>
  <si>
    <t>Largetooth Aspen</t>
  </si>
  <si>
    <t>Populus grandidentata</t>
  </si>
  <si>
    <t>Quebec to Ontario, Eastern United States</t>
  </si>
  <si>
    <t>popbla</t>
  </si>
  <si>
    <t>Black Poplar</t>
  </si>
  <si>
    <t>Populus nigra</t>
  </si>
  <si>
    <t>popspp</t>
  </si>
  <si>
    <t>Poplar species</t>
  </si>
  <si>
    <t>Populus spp</t>
  </si>
  <si>
    <t>asptre</t>
  </si>
  <si>
    <t>Trembling Aspen</t>
  </si>
  <si>
    <t>Populus tremuloides</t>
  </si>
  <si>
    <t>North America: Across Canada and Southern US</t>
  </si>
  <si>
    <t>popcar</t>
  </si>
  <si>
    <t>Carolina Poplar</t>
  </si>
  <si>
    <t>Populus x canadensis</t>
  </si>
  <si>
    <t>hybpop</t>
  </si>
  <si>
    <t>Poplar hybrid</t>
  </si>
  <si>
    <t>Populus x hybida</t>
  </si>
  <si>
    <t>redbud</t>
  </si>
  <si>
    <t>Redbud</t>
  </si>
  <si>
    <t>Cercis canadensis</t>
  </si>
  <si>
    <t>Eastern North America from Mexico north, Pelee Island</t>
  </si>
  <si>
    <t>reddaw</t>
  </si>
  <si>
    <t>Redwood</t>
  </si>
  <si>
    <t>Dawn Redwood</t>
  </si>
  <si>
    <t>Metasequoia glyptostroboides</t>
  </si>
  <si>
    <t>Szechwan, China</t>
  </si>
  <si>
    <t>rose</t>
  </si>
  <si>
    <t>Rose</t>
  </si>
  <si>
    <t>Rosa spp</t>
  </si>
  <si>
    <t>rossha</t>
  </si>
  <si>
    <t>Malvaceae</t>
  </si>
  <si>
    <t>Rose-of-Sharon</t>
  </si>
  <si>
    <t>Hibiscus syriacus</t>
  </si>
  <si>
    <t>olirus</t>
  </si>
  <si>
    <t>Elaeagnaceae</t>
  </si>
  <si>
    <t>Russian Olive</t>
  </si>
  <si>
    <t>Elaeagnus angustifolia</t>
  </si>
  <si>
    <t>eldspp</t>
  </si>
  <si>
    <t>Sambucaceae</t>
  </si>
  <si>
    <t>Sambucus sp.</t>
  </si>
  <si>
    <t>Elder species</t>
  </si>
  <si>
    <t>Sambucus spp</t>
  </si>
  <si>
    <t>sassaf</t>
  </si>
  <si>
    <t>Lauraceae</t>
  </si>
  <si>
    <t>Sassafras</t>
  </si>
  <si>
    <t>Sassafras albidum</t>
  </si>
  <si>
    <t>redwoo</t>
  </si>
  <si>
    <t>Sequoia</t>
  </si>
  <si>
    <t>Sequoia sempervirens</t>
  </si>
  <si>
    <t>California</t>
  </si>
  <si>
    <t>serdow</t>
  </si>
  <si>
    <t>Serviceberry</t>
  </si>
  <si>
    <t>Downy Serviceberry</t>
  </si>
  <si>
    <t>Amelanchier arborea</t>
  </si>
  <si>
    <t>servic</t>
  </si>
  <si>
    <t>Amelanchier canadensis</t>
  </si>
  <si>
    <t>sersmo</t>
  </si>
  <si>
    <t>Smooth-Leaved Serviceberry</t>
  </si>
  <si>
    <t>Amelanchier laevis</t>
  </si>
  <si>
    <t>serspp</t>
  </si>
  <si>
    <t>Serviceberry species</t>
  </si>
  <si>
    <t>Serviceberry spp</t>
  </si>
  <si>
    <t>silcar</t>
  </si>
  <si>
    <t>Styracaceae</t>
  </si>
  <si>
    <t>Silverbell</t>
  </si>
  <si>
    <t>Carolina Silverbell</t>
  </si>
  <si>
    <t>Halesia carolina</t>
  </si>
  <si>
    <t>smotre</t>
  </si>
  <si>
    <t>Anacardiaceae</t>
  </si>
  <si>
    <t>Smoketree</t>
  </si>
  <si>
    <t>Cotinus coggygria</t>
  </si>
  <si>
    <t>Southern Europe to Asia</t>
  </si>
  <si>
    <t>snag</t>
  </si>
  <si>
    <t>jappag</t>
  </si>
  <si>
    <t>Sophora</t>
  </si>
  <si>
    <t>Japanese Pagoda Tree</t>
  </si>
  <si>
    <t>Sophora japonica</t>
  </si>
  <si>
    <t>euoeur</t>
  </si>
  <si>
    <t>Celastraceae</t>
  </si>
  <si>
    <t>Spindletree</t>
  </si>
  <si>
    <t>European Euonymus</t>
  </si>
  <si>
    <t>Euonymus europaeus</t>
  </si>
  <si>
    <t>euospp</t>
  </si>
  <si>
    <t>Spindletree sp.</t>
  </si>
  <si>
    <t>Euonymus species</t>
  </si>
  <si>
    <t>Euonymus spp</t>
  </si>
  <si>
    <t>sprnor</t>
  </si>
  <si>
    <t>Spruce</t>
  </si>
  <si>
    <t>Norway Spruce</t>
  </si>
  <si>
    <t>Picea abies</t>
  </si>
  <si>
    <t>Europe and Asia</t>
  </si>
  <si>
    <t>spreng</t>
  </si>
  <si>
    <t>Engleman Spruce</t>
  </si>
  <si>
    <t>Picea englemannii</t>
  </si>
  <si>
    <t>Western North America</t>
  </si>
  <si>
    <t>sprwhi</t>
  </si>
  <si>
    <t>White Spruce</t>
  </si>
  <si>
    <t>Picea glauca</t>
  </si>
  <si>
    <t>sprbla</t>
  </si>
  <si>
    <t>Black Spruce</t>
  </si>
  <si>
    <t>Picea mariana</t>
  </si>
  <si>
    <t>North America: Alaska and Northern States to mountains of Virginia,  Across Canada</t>
  </si>
  <si>
    <t>sprser</t>
  </si>
  <si>
    <t>Serbian Spruce</t>
  </si>
  <si>
    <t>Picea omrika</t>
  </si>
  <si>
    <t>sprblu</t>
  </si>
  <si>
    <t>Blue Spruce</t>
  </si>
  <si>
    <t>Picea pungens</t>
  </si>
  <si>
    <t>US Rocky Mountains</t>
  </si>
  <si>
    <t>sprred</t>
  </si>
  <si>
    <t>Red Spruce</t>
  </si>
  <si>
    <t>Picea rubens</t>
  </si>
  <si>
    <t>sprspp</t>
  </si>
  <si>
    <t>Spruce species</t>
  </si>
  <si>
    <t>Picea spp</t>
  </si>
  <si>
    <t>sumspp</t>
  </si>
  <si>
    <t>Sumac</t>
  </si>
  <si>
    <t>Sumac sp</t>
  </si>
  <si>
    <t>Rhus spp</t>
  </si>
  <si>
    <t>sumacs</t>
  </si>
  <si>
    <t>Rhus typhina</t>
  </si>
  <si>
    <t>North shore of Lake Superior east to Nova Scotia</t>
  </si>
  <si>
    <t>sweetg</t>
  </si>
  <si>
    <t>Hamamelidaceae</t>
  </si>
  <si>
    <t>Sweetgum</t>
  </si>
  <si>
    <t>Liquidambar styraciflua</t>
  </si>
  <si>
    <t>werece</t>
  </si>
  <si>
    <t>Thuja (Cedar)</t>
  </si>
  <si>
    <t>treeof</t>
  </si>
  <si>
    <t>Simaroubaceae</t>
  </si>
  <si>
    <t>Tree of Heaven</t>
  </si>
  <si>
    <t>Ailanthus altissima</t>
  </si>
  <si>
    <t>tulipt</t>
  </si>
  <si>
    <t>Tulip-Tree</t>
  </si>
  <si>
    <t>Tulip Tree</t>
  </si>
  <si>
    <t>Liriodendron tulipifera</t>
  </si>
  <si>
    <t>unknow</t>
  </si>
  <si>
    <t>unknown</t>
  </si>
  <si>
    <t>unknown species</t>
  </si>
  <si>
    <t>wayfar</t>
  </si>
  <si>
    <t>Viburnum</t>
  </si>
  <si>
    <t>Wayfaring Tree</t>
  </si>
  <si>
    <t>Viburnum lantana</t>
  </si>
  <si>
    <t>nannyb</t>
  </si>
  <si>
    <t>Nannyberry</t>
  </si>
  <si>
    <t>Viburnum lentago</t>
  </si>
  <si>
    <t>Hudson Bay, South to Georgia and Mississippi; United States</t>
  </si>
  <si>
    <t>vibspp</t>
  </si>
  <si>
    <t>Viburnum spp</t>
  </si>
  <si>
    <t>devils</t>
  </si>
  <si>
    <t>Walkingstick</t>
  </si>
  <si>
    <t>Devils-walkingstick</t>
  </si>
  <si>
    <t>Aralia spinosa</t>
  </si>
  <si>
    <t>South Eastern U.S.A.</t>
  </si>
  <si>
    <t>butter</t>
  </si>
  <si>
    <t>Walnut/Butternut</t>
  </si>
  <si>
    <t>Butternut</t>
  </si>
  <si>
    <t>Juglans cinerea</t>
  </si>
  <si>
    <t>walman</t>
  </si>
  <si>
    <t>Manchrurian Walnut</t>
  </si>
  <si>
    <t>Juglans mandshurica</t>
  </si>
  <si>
    <t>walbla</t>
  </si>
  <si>
    <t>Black Walnut</t>
  </si>
  <si>
    <t>Juglans nigra</t>
  </si>
  <si>
    <t>Southern Ontario, North Eastern US</t>
  </si>
  <si>
    <t>waleng</t>
  </si>
  <si>
    <t>English Walnut</t>
  </si>
  <si>
    <t>Juglans regia</t>
  </si>
  <si>
    <t>Southeast Europe, Western Asia; United States</t>
  </si>
  <si>
    <t>walspp</t>
  </si>
  <si>
    <t>Walnut/Butternut species</t>
  </si>
  <si>
    <t>Juglans spp</t>
  </si>
  <si>
    <t>wilwhi</t>
  </si>
  <si>
    <t>Willow</t>
  </si>
  <si>
    <t>White Willow</t>
  </si>
  <si>
    <t>Salix alba</t>
  </si>
  <si>
    <t>wilpea</t>
  </si>
  <si>
    <t>Peach Leaf Willow</t>
  </si>
  <si>
    <t>Salix amygdaloides</t>
  </si>
  <si>
    <t>wilwee</t>
  </si>
  <si>
    <t>Golden Weeping Willow</t>
  </si>
  <si>
    <t>Salix babylonica</t>
  </si>
  <si>
    <t>wilbeb</t>
  </si>
  <si>
    <t>Bebb's Willow</t>
  </si>
  <si>
    <t>Salix bebbiana</t>
  </si>
  <si>
    <t>wilgoa</t>
  </si>
  <si>
    <t>Goat Willow</t>
  </si>
  <si>
    <t>Salix caprea</t>
  </si>
  <si>
    <t>wilpus</t>
  </si>
  <si>
    <t>Pussy Willow</t>
  </si>
  <si>
    <t>Salix discolor</t>
  </si>
  <si>
    <t>Across Canada's provinces, North-Eastern US</t>
  </si>
  <si>
    <t>wilcra</t>
  </si>
  <si>
    <t>Crack Willow</t>
  </si>
  <si>
    <t>Salix fragilis</t>
  </si>
  <si>
    <t>wilbay</t>
  </si>
  <si>
    <t>Bay (leaved) Willow</t>
  </si>
  <si>
    <t>Salix laurifolia</t>
  </si>
  <si>
    <t>wilshi</t>
  </si>
  <si>
    <t>Shining Willow</t>
  </si>
  <si>
    <t>Salix lucida</t>
  </si>
  <si>
    <t>wilcor</t>
  </si>
  <si>
    <t>Corkscrew Willow</t>
  </si>
  <si>
    <t>Salix matsudana</t>
  </si>
  <si>
    <t>North Asia</t>
  </si>
  <si>
    <t>wilbla</t>
  </si>
  <si>
    <t>Black Willow</t>
  </si>
  <si>
    <t>Salix nigra</t>
  </si>
  <si>
    <t>wilfal</t>
  </si>
  <si>
    <t>False mountain willow</t>
  </si>
  <si>
    <t>Salix pseudomonticola</t>
  </si>
  <si>
    <t>wilarc</t>
  </si>
  <si>
    <t>Arctic Willow</t>
  </si>
  <si>
    <t>Salix purpurea</t>
  </si>
  <si>
    <t>wilspp</t>
  </si>
  <si>
    <t>Willow species</t>
  </si>
  <si>
    <t>Salix spp</t>
  </si>
  <si>
    <t>wingnu</t>
  </si>
  <si>
    <t>Wingnut</t>
  </si>
  <si>
    <t>Pterocarya fraxinifolia</t>
  </si>
  <si>
    <t>hazwit</t>
  </si>
  <si>
    <t>Witch hazel</t>
  </si>
  <si>
    <t>Hamamelis virginiana</t>
  </si>
  <si>
    <t>yellow</t>
  </si>
  <si>
    <t>Yellowood</t>
  </si>
  <si>
    <t>American Yellowood</t>
  </si>
  <si>
    <t>Cladrastis lutea</t>
  </si>
  <si>
    <t>yeweur</t>
  </si>
  <si>
    <t>Taxaceae</t>
  </si>
  <si>
    <t>Yew</t>
  </si>
  <si>
    <t>European Yew</t>
  </si>
  <si>
    <t>Taxus baccata</t>
  </si>
  <si>
    <t>yewcom</t>
  </si>
  <si>
    <t>Common Yew</t>
  </si>
  <si>
    <t>Taxus canadensis</t>
  </si>
  <si>
    <t>yewjap</t>
  </si>
  <si>
    <t>Upright Japanese Yew</t>
  </si>
  <si>
    <t>Taxus cuspidata</t>
  </si>
  <si>
    <t>yewspp</t>
  </si>
  <si>
    <t>Yew species</t>
  </si>
  <si>
    <t>Yew spp</t>
  </si>
  <si>
    <t>zeljap</t>
  </si>
  <si>
    <t>Zelkova</t>
  </si>
  <si>
    <t>Japanese zelkova</t>
  </si>
  <si>
    <t>Zelkova serrata</t>
  </si>
  <si>
    <t>common species code</t>
  </si>
  <si>
    <t>Family</t>
  </si>
  <si>
    <t>Scientific name of genus</t>
  </si>
  <si>
    <t>Genus</t>
  </si>
  <si>
    <t>latin species code</t>
  </si>
  <si>
    <t>Common Name</t>
  </si>
  <si>
    <t>Scientific name of sp</t>
  </si>
  <si>
    <t>SynonymScSp</t>
  </si>
  <si>
    <t>Native</t>
  </si>
  <si>
    <t>Height up to</t>
  </si>
  <si>
    <t>Heritage Height</t>
  </si>
  <si>
    <t>HeritgeValue</t>
  </si>
  <si>
    <t>Heritage DBH</t>
  </si>
  <si>
    <t>HeritCustom</t>
  </si>
  <si>
    <t>Age up to</t>
  </si>
  <si>
    <t>Persistence</t>
  </si>
  <si>
    <t>NativeRange</t>
  </si>
  <si>
    <t>Form</t>
  </si>
  <si>
    <t>Rare in Ontario</t>
  </si>
  <si>
    <t>SpRating</t>
  </si>
  <si>
    <t>BasicP</t>
  </si>
  <si>
    <t>TransDBH</t>
  </si>
  <si>
    <t>ShadeFac</t>
  </si>
  <si>
    <t>Species Genus Other</t>
  </si>
  <si>
    <t>NW Original DBH</t>
  </si>
  <si>
    <t>Angus DBH</t>
  </si>
  <si>
    <t>Angus source</t>
  </si>
  <si>
    <t>Liat DBH</t>
  </si>
  <si>
    <t>USE THIS</t>
  </si>
  <si>
    <t>Lauriault code</t>
  </si>
  <si>
    <t>Lauriault min DBH</t>
  </si>
  <si>
    <t>Lauriault Max DBH</t>
  </si>
  <si>
    <t>Lauriault Min Ht</t>
  </si>
  <si>
    <t>Lauriault MAx Ht</t>
  </si>
  <si>
    <t>Peterson min dbh ft</t>
  </si>
  <si>
    <t>Peterson max dbh ft</t>
  </si>
  <si>
    <t>Peterson min ht ft</t>
  </si>
  <si>
    <t>Peterson max ht ft</t>
  </si>
  <si>
    <t>Farrar min dbh</t>
  </si>
  <si>
    <t>Farrar max dbh</t>
  </si>
  <si>
    <t>Farrar min ht</t>
  </si>
  <si>
    <t>Farrar max ht</t>
  </si>
  <si>
    <t>min dbhA</t>
  </si>
  <si>
    <t>max dbhA</t>
  </si>
  <si>
    <t>min htA</t>
  </si>
  <si>
    <t>max htA</t>
  </si>
  <si>
    <t>referenceA</t>
  </si>
  <si>
    <t>90th percentile from Ottawa Inv and NW</t>
  </si>
  <si>
    <t>Count of Ottawa Inv and NW</t>
  </si>
  <si>
    <t>Largest of Ottawa and NW</t>
  </si>
  <si>
    <t>Alnus spp.</t>
  </si>
  <si>
    <t>alnu-glu</t>
  </si>
  <si>
    <t>Deciduous</t>
  </si>
  <si>
    <t>Farrar 1995</t>
  </si>
  <si>
    <t/>
  </si>
  <si>
    <t>alnu-rug</t>
  </si>
  <si>
    <t>g552b</t>
  </si>
  <si>
    <t>alnu-sp</t>
  </si>
  <si>
    <t>Alnus sp.</t>
  </si>
  <si>
    <t>N/A</t>
  </si>
  <si>
    <t>alnu-inc</t>
  </si>
  <si>
    <t>f322-</t>
  </si>
  <si>
    <t>Malus spp.</t>
  </si>
  <si>
    <t>Malus communis</t>
  </si>
  <si>
    <t>g542d</t>
  </si>
  <si>
    <t>Rushforth 1999</t>
  </si>
  <si>
    <t>g532c</t>
  </si>
  <si>
    <t>Durr</t>
  </si>
  <si>
    <t>Malus sp.</t>
  </si>
  <si>
    <t>Prunus spp.</t>
  </si>
  <si>
    <t>prun-arm</t>
  </si>
  <si>
    <t>Fraxinus spp.</t>
  </si>
  <si>
    <t>frax-nig</t>
  </si>
  <si>
    <t>d542b</t>
  </si>
  <si>
    <t>frax-qua</t>
  </si>
  <si>
    <t>d542a</t>
  </si>
  <si>
    <t>120-200 years</t>
  </si>
  <si>
    <t>d542c</t>
  </si>
  <si>
    <t>frax-pen</t>
  </si>
  <si>
    <t>Lauriault 1989</t>
  </si>
  <si>
    <t>d522b</t>
  </si>
  <si>
    <t>frax-man</t>
  </si>
  <si>
    <t>Fraxinus sp.</t>
  </si>
  <si>
    <t>frax-ame</t>
  </si>
  <si>
    <t>200</t>
  </si>
  <si>
    <t>d522a</t>
  </si>
  <si>
    <t>Populus spp.</t>
  </si>
  <si>
    <t>popu-gra</t>
  </si>
  <si>
    <t>60</t>
  </si>
  <si>
    <t>g532b</t>
  </si>
  <si>
    <t>popu-tre</t>
  </si>
  <si>
    <t>80</t>
  </si>
  <si>
    <t>g662-</t>
  </si>
  <si>
    <t>Tilia spp.</t>
  </si>
  <si>
    <t>tili-ame</t>
  </si>
  <si>
    <t>g732a</t>
  </si>
  <si>
    <t>Fagus spp.</t>
  </si>
  <si>
    <t>fagu-gra</t>
  </si>
  <si>
    <t>g532a</t>
  </si>
  <si>
    <t>Carpinus spp.</t>
  </si>
  <si>
    <t>carp-car</t>
  </si>
  <si>
    <t>g552h</t>
  </si>
  <si>
    <t>fagu-syl</t>
  </si>
  <si>
    <t>fagu-sp</t>
  </si>
  <si>
    <t>Fagus sp.</t>
  </si>
  <si>
    <t>Betula spp.</t>
  </si>
  <si>
    <t>g852b</t>
  </si>
  <si>
    <t>betu-len</t>
  </si>
  <si>
    <t>betu-pen</t>
  </si>
  <si>
    <t>Betula alba</t>
  </si>
  <si>
    <t>50-120 years</t>
  </si>
  <si>
    <t>g852c</t>
  </si>
  <si>
    <t>betu-pop</t>
  </si>
  <si>
    <t>g852a</t>
  </si>
  <si>
    <t>betu-jac</t>
  </si>
  <si>
    <t>betu-occ</t>
  </si>
  <si>
    <t>g552f</t>
  </si>
  <si>
    <t>betu-sp</t>
  </si>
  <si>
    <t>Betula sp.</t>
  </si>
  <si>
    <t>betu-pap</t>
  </si>
  <si>
    <t>120</t>
  </si>
  <si>
    <t>g552d</t>
  </si>
  <si>
    <t>betu-all</t>
  </si>
  <si>
    <t>150</t>
  </si>
  <si>
    <t>g552e</t>
  </si>
  <si>
    <t>Rhamnus spp.</t>
  </si>
  <si>
    <t>rham-cat</t>
  </si>
  <si>
    <t>European Buckthorn</t>
  </si>
  <si>
    <t>g542f</t>
  </si>
  <si>
    <t>Aesculus spp.</t>
  </si>
  <si>
    <t>aesc-gla</t>
  </si>
  <si>
    <t>d532-</t>
  </si>
  <si>
    <t>aesc-pav</t>
  </si>
  <si>
    <t>rham-sp</t>
  </si>
  <si>
    <t>Rhamnus sp.</t>
  </si>
  <si>
    <t>aesc-oct</t>
  </si>
  <si>
    <t>Juglans spp.</t>
  </si>
  <si>
    <t>jugl-cin</t>
  </si>
  <si>
    <t>f432d</t>
  </si>
  <si>
    <t>Catalpa spp.</t>
  </si>
  <si>
    <t>cata-ova</t>
  </si>
  <si>
    <t>cata-spe</t>
  </si>
  <si>
    <t>e732-</t>
  </si>
  <si>
    <t>cata-big</t>
  </si>
  <si>
    <t>cat-sp</t>
  </si>
  <si>
    <t>Cryptomeria spp.</t>
  </si>
  <si>
    <t>cryp-jap</t>
  </si>
  <si>
    <t>Evergreen</t>
  </si>
  <si>
    <t>Thuja spp.</t>
  </si>
  <si>
    <t>thuj-ori</t>
  </si>
  <si>
    <t>Juniperus spp.</t>
  </si>
  <si>
    <t>juni-vir</t>
  </si>
  <si>
    <t>a111d</t>
  </si>
  <si>
    <t>thuj-sp</t>
  </si>
  <si>
    <t>Thuja sp.</t>
  </si>
  <si>
    <t>a111b</t>
  </si>
  <si>
    <t>thuj-occ</t>
  </si>
  <si>
    <t>700</t>
  </si>
  <si>
    <t>a111a</t>
  </si>
  <si>
    <t>Chamaecyparis spp.</t>
  </si>
  <si>
    <t>cham-noo</t>
  </si>
  <si>
    <t>a111c</t>
  </si>
  <si>
    <t>Castanea spp.</t>
  </si>
  <si>
    <t>cast-den</t>
  </si>
  <si>
    <t>g432a</t>
  </si>
  <si>
    <t>prun-srt</t>
  </si>
  <si>
    <t>g442a</t>
  </si>
  <si>
    <t>cast-mol</t>
  </si>
  <si>
    <t>prun-vir</t>
  </si>
  <si>
    <t>g542a</t>
  </si>
  <si>
    <t>prun-pad</t>
  </si>
  <si>
    <t>Prunus racemosa</t>
  </si>
  <si>
    <t>prun-avi</t>
  </si>
  <si>
    <t>Leopold 2003</t>
  </si>
  <si>
    <t>prun-sub</t>
  </si>
  <si>
    <t>prun-ser</t>
  </si>
  <si>
    <t>prun-pen</t>
  </si>
  <si>
    <t>40</t>
  </si>
  <si>
    <t>g442b</t>
  </si>
  <si>
    <t>prun-cis</t>
  </si>
  <si>
    <t>prun-sar</t>
  </si>
  <si>
    <t>prun-spp</t>
  </si>
  <si>
    <t>Prunus sp.</t>
  </si>
  <si>
    <t>cast-sp</t>
  </si>
  <si>
    <t>Castanea sp.</t>
  </si>
  <si>
    <t>Gymnocladus spp.</t>
  </si>
  <si>
    <t>gymn-dio</t>
  </si>
  <si>
    <t>75</t>
  </si>
  <si>
    <t>f522b</t>
  </si>
  <si>
    <t>Phellodendron spp.</t>
  </si>
  <si>
    <t>phel-amu</t>
  </si>
  <si>
    <t>popu-del</t>
  </si>
  <si>
    <t>50</t>
  </si>
  <si>
    <t>g862a</t>
  </si>
  <si>
    <t>malu-hyb</t>
  </si>
  <si>
    <t>malu-flo</t>
  </si>
  <si>
    <t>malu-cor</t>
  </si>
  <si>
    <t>Magnolia spp.</t>
  </si>
  <si>
    <t>magn-acu</t>
  </si>
  <si>
    <t>g522k</t>
  </si>
  <si>
    <t>Other</t>
  </si>
  <si>
    <t>Aralia spp.</t>
  </si>
  <si>
    <t>aral-spi</t>
  </si>
  <si>
    <t>Cornus spp.</t>
  </si>
  <si>
    <t>corn-alt</t>
  </si>
  <si>
    <t>g522g</t>
  </si>
  <si>
    <t>corn-kou</t>
  </si>
  <si>
    <t>corn-flo</t>
  </si>
  <si>
    <t>e522a</t>
  </si>
  <si>
    <t>corn-rac</t>
  </si>
  <si>
    <t>Cornus sericea</t>
  </si>
  <si>
    <t>corn-sp</t>
  </si>
  <si>
    <t>Cornus sp.</t>
  </si>
  <si>
    <t>Sambucus spp.</t>
  </si>
  <si>
    <t>samb-sp</t>
  </si>
  <si>
    <t>Ulmus spp.</t>
  </si>
  <si>
    <t>ulmu-ame</t>
  </si>
  <si>
    <t>g952a</t>
  </si>
  <si>
    <t>ulmu-veg</t>
  </si>
  <si>
    <t>Ulmus x hollandica 'vegata'</t>
  </si>
  <si>
    <t>ulmu-hol</t>
  </si>
  <si>
    <t>ulmu-pro</t>
  </si>
  <si>
    <t>Petrides 1972</t>
  </si>
  <si>
    <t>ulmu-car</t>
  </si>
  <si>
    <t>Ulmus minor</t>
  </si>
  <si>
    <t>ulmu-tho</t>
  </si>
  <si>
    <t>Ulmus racemosa</t>
  </si>
  <si>
    <t>175</t>
  </si>
  <si>
    <t>g952b</t>
  </si>
  <si>
    <t>ulmu-gla</t>
  </si>
  <si>
    <t>ulmu-pum</t>
  </si>
  <si>
    <t>ulmu-rub</t>
  </si>
  <si>
    <t>Ulmus fulva</t>
  </si>
  <si>
    <t>125</t>
  </si>
  <si>
    <t>Elias 1980</t>
  </si>
  <si>
    <t>g952c</t>
  </si>
  <si>
    <t>ulmu-sp</t>
  </si>
  <si>
    <t>Euonymus spp.</t>
  </si>
  <si>
    <t>euon-eur</t>
  </si>
  <si>
    <t>euon-sp</t>
  </si>
  <si>
    <t>Euonymus sp.</t>
  </si>
  <si>
    <t>Abies spp.</t>
  </si>
  <si>
    <t>abie-bal</t>
  </si>
  <si>
    <t>150-200</t>
  </si>
  <si>
    <t>c211a</t>
  </si>
  <si>
    <t>Pseudotsuga spp.</t>
  </si>
  <si>
    <t>pseu-men</t>
  </si>
  <si>
    <t>500</t>
  </si>
  <si>
    <t>c211h</t>
  </si>
  <si>
    <t>abie-fra</t>
  </si>
  <si>
    <t>abie-gra</t>
  </si>
  <si>
    <t>250</t>
  </si>
  <si>
    <t>c211d</t>
  </si>
  <si>
    <t>abie-sp</t>
  </si>
  <si>
    <t>Abies sp.</t>
  </si>
  <si>
    <t>abie-con</t>
  </si>
  <si>
    <t>prun-tri</t>
  </si>
  <si>
    <t>Ginkgos spp.</t>
  </si>
  <si>
    <t>gink-bil</t>
  </si>
  <si>
    <t>several 100s</t>
  </si>
  <si>
    <t>Laburnum spp.</t>
  </si>
  <si>
    <t>Nyssa spp.</t>
  </si>
  <si>
    <t>nyss-syl</t>
  </si>
  <si>
    <t>Celtis spp.</t>
  </si>
  <si>
    <t>celt-occ</t>
  </si>
  <si>
    <t>g732b</t>
  </si>
  <si>
    <t>Crataegus spp.</t>
  </si>
  <si>
    <t>crat-cru</t>
  </si>
  <si>
    <t>crat-mol</t>
  </si>
  <si>
    <t>crat-oxy</t>
  </si>
  <si>
    <t>crat-lav</t>
  </si>
  <si>
    <t>crat-mon</t>
  </si>
  <si>
    <t>crat-sp</t>
  </si>
  <si>
    <t>Crataegus sp.</t>
  </si>
  <si>
    <t>Corylus spp.</t>
  </si>
  <si>
    <t>cory-ame</t>
  </si>
  <si>
    <t>cory-col</t>
  </si>
  <si>
    <t>Hamamelis spp.</t>
  </si>
  <si>
    <t>hama-vir</t>
  </si>
  <si>
    <t>hedges</t>
  </si>
  <si>
    <t>Tsuga spp.</t>
  </si>
  <si>
    <t>tsug-can</t>
  </si>
  <si>
    <t>600</t>
  </si>
  <si>
    <t>Carya spp.</t>
  </si>
  <si>
    <t>cary-cor</t>
  </si>
  <si>
    <t>cary-gla</t>
  </si>
  <si>
    <t>cary-ova</t>
  </si>
  <si>
    <t>cary-lac</t>
  </si>
  <si>
    <t>cary-sp</t>
  </si>
  <si>
    <t>Carya sp.</t>
  </si>
  <si>
    <t>Ilex spp.</t>
  </si>
  <si>
    <t>Lonicera spp.</t>
  </si>
  <si>
    <t>Ptelea spp.</t>
  </si>
  <si>
    <t>ptel-tri</t>
  </si>
  <si>
    <t>aesc-hip</t>
  </si>
  <si>
    <t>100</t>
  </si>
  <si>
    <t>carp-bet</t>
  </si>
  <si>
    <t>aesc-ca</t>
  </si>
  <si>
    <t>carp-spp</t>
  </si>
  <si>
    <t>popu-hyb</t>
  </si>
  <si>
    <t>Ostrya spp.</t>
  </si>
  <si>
    <t>ostr-vir</t>
  </si>
  <si>
    <t>Sophora spp.</t>
  </si>
  <si>
    <t>Juniper spp.</t>
  </si>
  <si>
    <t>juni-chi</t>
  </si>
  <si>
    <t>juni-sab</t>
  </si>
  <si>
    <t>juni-sp</t>
  </si>
  <si>
    <t>Juniper sp.</t>
  </si>
  <si>
    <t>Kalopanax spp.</t>
  </si>
  <si>
    <t>kalo-pic</t>
  </si>
  <si>
    <t>Cercidiphyllum spp.</t>
  </si>
  <si>
    <t>cerc-jap</t>
  </si>
  <si>
    <t>Larix spp.</t>
  </si>
  <si>
    <t>lari-dec</t>
  </si>
  <si>
    <t>lari-lep</t>
  </si>
  <si>
    <t>lari-sp</t>
  </si>
  <si>
    <t>Larix sp.</t>
  </si>
  <si>
    <t>Syringa spp.</t>
  </si>
  <si>
    <t>syri-vul</t>
  </si>
  <si>
    <t>syri-ret</t>
  </si>
  <si>
    <t>Syringa amurensis 'Japonica'</t>
  </si>
  <si>
    <t>Assumed same as common lilac</t>
  </si>
  <si>
    <t>https://en.wikipedia.org/wiki/Syringa_reticulata</t>
  </si>
  <si>
    <t>syri-sp</t>
  </si>
  <si>
    <t>Syringa sp.</t>
  </si>
  <si>
    <t>tili-pla</t>
  </si>
  <si>
    <t>tili-eur</t>
  </si>
  <si>
    <t>tili-fla</t>
  </si>
  <si>
    <t>tili-cor</t>
  </si>
  <si>
    <t>tili-tom</t>
  </si>
  <si>
    <t>tili-sp</t>
  </si>
  <si>
    <t>Tilia sp.</t>
  </si>
  <si>
    <t>Robinia spp.</t>
  </si>
  <si>
    <t>robi-pse</t>
  </si>
  <si>
    <t>90</t>
  </si>
  <si>
    <t>f522c</t>
  </si>
  <si>
    <t>Gleditsia spp.</t>
  </si>
  <si>
    <t>gled-tri</t>
  </si>
  <si>
    <t>f522a</t>
  </si>
  <si>
    <t>magn-sou</t>
  </si>
  <si>
    <t>magn-spp</t>
  </si>
  <si>
    <t>magn-ste</t>
  </si>
  <si>
    <t>Magnolia kobus var. stellata</t>
  </si>
  <si>
    <t>magn-tri</t>
  </si>
  <si>
    <t>Acer spp.</t>
  </si>
  <si>
    <t>acer-gin</t>
  </si>
  <si>
    <t>acer-nig</t>
  </si>
  <si>
    <t>Acer saccharum ssp nigrum</t>
  </si>
  <si>
    <t>e683b</t>
  </si>
  <si>
    <t>acer-fre</t>
  </si>
  <si>
    <t>acer-cam</t>
  </si>
  <si>
    <t>acer-pal</t>
  </si>
  <si>
    <t>acer-neg</t>
  </si>
  <si>
    <t>d572-</t>
  </si>
  <si>
    <t>acer-spi</t>
  </si>
  <si>
    <t>acer-pla</t>
  </si>
  <si>
    <t>e683d</t>
  </si>
  <si>
    <t>acer-rub</t>
  </si>
  <si>
    <t>e693a</t>
  </si>
  <si>
    <t>acer-das</t>
  </si>
  <si>
    <t>Acer dasycarpum</t>
  </si>
  <si>
    <t>130</t>
  </si>
  <si>
    <t>e693b</t>
  </si>
  <si>
    <t>acer-sp</t>
  </si>
  <si>
    <t>Acer sp.</t>
  </si>
  <si>
    <t>acer-pen</t>
  </si>
  <si>
    <t>acer-sac</t>
  </si>
  <si>
    <t>e683a</t>
  </si>
  <si>
    <t>acer-pse</t>
  </si>
  <si>
    <t>acer-tat</t>
  </si>
  <si>
    <t>Sorbus spp.</t>
  </si>
  <si>
    <t>sorb-ame</t>
  </si>
  <si>
    <t>sorb-poh</t>
  </si>
  <si>
    <t>sorb-thu</t>
  </si>
  <si>
    <t>sorb-auc</t>
  </si>
  <si>
    <t>sorb-hyb</t>
  </si>
  <si>
    <t>sorb-aln</t>
  </si>
  <si>
    <t>sorb-dec</t>
  </si>
  <si>
    <t>sorb-sp</t>
  </si>
  <si>
    <t>Sorbus sp.</t>
  </si>
  <si>
    <t>sorb-ari</t>
  </si>
  <si>
    <t>Morus spp.</t>
  </si>
  <si>
    <t>moru-nig</t>
  </si>
  <si>
    <t>moru-rub</t>
  </si>
  <si>
    <t>moru-sp</t>
  </si>
  <si>
    <t>Morus sp.</t>
  </si>
  <si>
    <t>moru-alb</t>
  </si>
  <si>
    <t>Viburnum spp.</t>
  </si>
  <si>
    <t>vibu-len</t>
  </si>
  <si>
    <t>Quercus spp.</t>
  </si>
  <si>
    <t>quer-vel</t>
  </si>
  <si>
    <t>quer-mac</t>
  </si>
  <si>
    <t>Quercus borealis</t>
  </si>
  <si>
    <t>g572a</t>
  </si>
  <si>
    <t>quer-mue</t>
  </si>
  <si>
    <t>quer-rob</t>
  </si>
  <si>
    <t>quer-gar</t>
  </si>
  <si>
    <t>quer-ell</t>
  </si>
  <si>
    <t>quer-dou</t>
  </si>
  <si>
    <t>quer-pal</t>
  </si>
  <si>
    <t>g582c</t>
  </si>
  <si>
    <t>quer-rub</t>
  </si>
  <si>
    <t>g582a</t>
  </si>
  <si>
    <t>quer-coc</t>
  </si>
  <si>
    <t>quer-imb</t>
  </si>
  <si>
    <t>quer-shu</t>
  </si>
  <si>
    <t>quer-sp</t>
  </si>
  <si>
    <t>Quercus sp.</t>
  </si>
  <si>
    <t>quer-bic</t>
  </si>
  <si>
    <t>quer-alb</t>
  </si>
  <si>
    <t>g572b</t>
  </si>
  <si>
    <t>Elaeagnus spp.</t>
  </si>
  <si>
    <t>elae-ang</t>
  </si>
  <si>
    <t>Maclura spp.</t>
  </si>
  <si>
    <t>macl-pom</t>
  </si>
  <si>
    <t>Paulonia spp.</t>
  </si>
  <si>
    <t>Asminia spp.</t>
  </si>
  <si>
    <t>asmi-tri</t>
  </si>
  <si>
    <t>Pyrus spp.</t>
  </si>
  <si>
    <t>pyru-com</t>
  </si>
  <si>
    <t>Kershaw 2001</t>
  </si>
  <si>
    <t>pyru-cal</t>
  </si>
  <si>
    <t>pyru-uss</t>
  </si>
  <si>
    <t>pyru-sp</t>
  </si>
  <si>
    <t>Pyrus sp.</t>
  </si>
  <si>
    <t>Caragana spp.</t>
  </si>
  <si>
    <t>cara-arb</t>
  </si>
  <si>
    <t>Diospp.yros spp.</t>
  </si>
  <si>
    <t>dios-vir</t>
  </si>
  <si>
    <t>Pinus spp.</t>
  </si>
  <si>
    <t>pinu-nig</t>
  </si>
  <si>
    <t>pinu-ari</t>
  </si>
  <si>
    <t>5000</t>
  </si>
  <si>
    <t>pinu-ban</t>
  </si>
  <si>
    <t>pinu-mug</t>
  </si>
  <si>
    <t>pinu-rig</t>
  </si>
  <si>
    <t>pinu-pon</t>
  </si>
  <si>
    <t>Several 100's</t>
  </si>
  <si>
    <t>pinu-res</t>
  </si>
  <si>
    <t>b211j</t>
  </si>
  <si>
    <t>pinu-syl</t>
  </si>
  <si>
    <t>b211m</t>
  </si>
  <si>
    <t>pinu-sp</t>
  </si>
  <si>
    <t>Pinus sp.</t>
  </si>
  <si>
    <t>b211e</t>
  </si>
  <si>
    <t>pinu-str</t>
  </si>
  <si>
    <t>b211d</t>
  </si>
  <si>
    <t>Platanus spp.</t>
  </si>
  <si>
    <t>plat-ace</t>
  </si>
  <si>
    <t>plat-sp</t>
  </si>
  <si>
    <t>Platanus sp.</t>
  </si>
  <si>
    <t>prun-ame</t>
  </si>
  <si>
    <t>prun-nig</t>
  </si>
  <si>
    <t>prun-cer</t>
  </si>
  <si>
    <t>popu-bal</t>
  </si>
  <si>
    <t>70</t>
  </si>
  <si>
    <t>popu-nig</t>
  </si>
  <si>
    <t>popu-can</t>
  </si>
  <si>
    <t>popu-sp</t>
  </si>
  <si>
    <t>Populus sp.</t>
  </si>
  <si>
    <t>popu-alb</t>
  </si>
  <si>
    <t>prun-sp</t>
  </si>
  <si>
    <t>Koelreuteria spp.</t>
  </si>
  <si>
    <t>koel-pan</t>
  </si>
  <si>
    <t>Cercis spp.</t>
  </si>
  <si>
    <t>cerc-can</t>
  </si>
  <si>
    <t>Metasequoia spp.</t>
  </si>
  <si>
    <t>meta-gly</t>
  </si>
  <si>
    <t>Sequoia spp.</t>
  </si>
  <si>
    <t>sequ-sem</t>
  </si>
  <si>
    <t>Rosa spp.</t>
  </si>
  <si>
    <t>Hibiscus spp.</t>
  </si>
  <si>
    <t>hibi-syr</t>
  </si>
  <si>
    <t>Sassafras spp.</t>
  </si>
  <si>
    <t>sass-alb</t>
  </si>
  <si>
    <t>Amelanchier spp.</t>
  </si>
  <si>
    <t>amel-arb</t>
  </si>
  <si>
    <t>amel-lae</t>
  </si>
  <si>
    <t>amel-sp</t>
  </si>
  <si>
    <t>Serviceberry sp.</t>
  </si>
  <si>
    <t>amel-can</t>
  </si>
  <si>
    <t>Halesia spp.</t>
  </si>
  <si>
    <t>hale-car</t>
  </si>
  <si>
    <t>Cotinus spp.</t>
  </si>
  <si>
    <t>coti-cog</t>
  </si>
  <si>
    <t>snagss</t>
  </si>
  <si>
    <t>Picea spp.</t>
  </si>
  <si>
    <t>pice-mar</t>
  </si>
  <si>
    <t>pice-pun</t>
  </si>
  <si>
    <t>c211o</t>
  </si>
  <si>
    <t>pice-eng</t>
  </si>
  <si>
    <t>300</t>
  </si>
  <si>
    <t>British Colombia to New Mexico_x000D_
Native to the following USA states:_x000D_
Alaska_x000D_
Arizona_x000D_
Colorado_x000D_
Idaho_x000D_
Montana_x000D_
New Mexico_x000D_
Nevada_x000D_
Oregon_x000D_
Utah_x000D_
Washington_x000D_
Wyoming</t>
  </si>
  <si>
    <t>pice-abi</t>
  </si>
  <si>
    <t>c211p</t>
  </si>
  <si>
    <t>pice-rub</t>
  </si>
  <si>
    <t>pice-omr</t>
  </si>
  <si>
    <t>pice-sp</t>
  </si>
  <si>
    <t>Picea sp.</t>
  </si>
  <si>
    <t>pice-gla</t>
  </si>
  <si>
    <t>c211j</t>
  </si>
  <si>
    <t>Rhus spp.</t>
  </si>
  <si>
    <t>rhus-typ</t>
  </si>
  <si>
    <t>rhus-sp</t>
  </si>
  <si>
    <t>Rhus sp.</t>
  </si>
  <si>
    <t>Liquidamber spp.</t>
  </si>
  <si>
    <t>liqu-sty</t>
  </si>
  <si>
    <t>plat-occ</t>
  </si>
  <si>
    <t>lari-lar</t>
  </si>
  <si>
    <t>thicke</t>
  </si>
  <si>
    <t>thicket</t>
  </si>
  <si>
    <t>Ailanthus spp.</t>
  </si>
  <si>
    <t>aila-alt</t>
  </si>
  <si>
    <t>f422-</t>
  </si>
  <si>
    <t>Liriodendron spp.</t>
  </si>
  <si>
    <t>liri-tul</t>
  </si>
  <si>
    <t>g672b</t>
  </si>
  <si>
    <t>vibu-sp</t>
  </si>
  <si>
    <t>Viburnum sp.</t>
  </si>
  <si>
    <t>jugl-nig</t>
  </si>
  <si>
    <t>f432e</t>
  </si>
  <si>
    <t>jugl-reg</t>
  </si>
  <si>
    <t>jugl-sp</t>
  </si>
  <si>
    <t>Juglans sp.</t>
  </si>
  <si>
    <t>vibu-lan</t>
  </si>
  <si>
    <t>thuj-pli</t>
  </si>
  <si>
    <t>sorb-int</t>
  </si>
  <si>
    <t>Sorbus scandica</t>
  </si>
  <si>
    <t>Salix spp.</t>
  </si>
  <si>
    <t>e422-</t>
  </si>
  <si>
    <t>sali-lau</t>
  </si>
  <si>
    <t>Salix pentandra</t>
  </si>
  <si>
    <t>g522a</t>
  </si>
  <si>
    <t>sali-nig</t>
  </si>
  <si>
    <t>sali-mat</t>
  </si>
  <si>
    <t>sali-fra</t>
  </si>
  <si>
    <t>sali-cap</t>
  </si>
  <si>
    <t>sali-amy</t>
  </si>
  <si>
    <t>sali-dis</t>
  </si>
  <si>
    <t>sali-luc</t>
  </si>
  <si>
    <t>sali-spp</t>
  </si>
  <si>
    <t>sali-bab</t>
  </si>
  <si>
    <t>sali-alb</t>
  </si>
  <si>
    <t>Pterocarya spp.</t>
  </si>
  <si>
    <t>pter-frh</t>
  </si>
  <si>
    <t>Cladrastis spp.</t>
  </si>
  <si>
    <t>clad-lut</t>
  </si>
  <si>
    <t>Taxus spp.</t>
  </si>
  <si>
    <t>taxu-can</t>
  </si>
  <si>
    <t>taxu-bac</t>
  </si>
  <si>
    <t>taxu-cus</t>
  </si>
  <si>
    <t>taxu-spp</t>
  </si>
  <si>
    <t>Zelkova spp.</t>
  </si>
  <si>
    <t>*</t>
  </si>
  <si>
    <t>min cw</t>
  </si>
  <si>
    <t>maxcw</t>
  </si>
  <si>
    <t>Morton Arboretm web site</t>
  </si>
  <si>
    <t>malu-dom</t>
  </si>
  <si>
    <t>malu-sp</t>
  </si>
  <si>
    <t>frax-eur</t>
  </si>
  <si>
    <t>frax-sp</t>
  </si>
  <si>
    <t>labu-ana</t>
  </si>
  <si>
    <t>ill-sp</t>
  </si>
  <si>
    <t>loni-sp</t>
  </si>
  <si>
    <t>Magnolia sp.</t>
  </si>
  <si>
    <t>rosa-sp</t>
  </si>
  <si>
    <t>Rosa sp.</t>
  </si>
  <si>
    <t>prun-per</t>
  </si>
  <si>
    <t>cham-law</t>
  </si>
  <si>
    <t>corn-mas</t>
  </si>
  <si>
    <t>crat-coc</t>
  </si>
  <si>
    <t>loni-can</t>
  </si>
  <si>
    <t>juni-com</t>
  </si>
  <si>
    <t>juni-hor</t>
  </si>
  <si>
    <t>acer-gri</t>
  </si>
  <si>
    <t>soph-jap</t>
  </si>
  <si>
    <t>pinu-wal</t>
  </si>
  <si>
    <t>pinu-tae</t>
  </si>
  <si>
    <t>paul-tom</t>
  </si>
  <si>
    <t>zelk-ser</t>
  </si>
  <si>
    <t>jugl-man</t>
  </si>
  <si>
    <t>pinu-mon</t>
  </si>
  <si>
    <t>betu-neo</t>
  </si>
  <si>
    <t>corn-sto</t>
  </si>
  <si>
    <t>ulmu-par</t>
  </si>
  <si>
    <t>aali-beb</t>
  </si>
  <si>
    <t>aali-pur</t>
  </si>
  <si>
    <t>Sali-pse</t>
  </si>
  <si>
    <t>maac-amu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</si>
</sst>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2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3999450666829432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  <xf numFmtId="0" fontId="18" fillId="0" borderId="0"/>
    <xf numFmtId="0" fontId="20" fillId="0" borderId="0"/>
  </cellStyleXfs>
  <cellXfs count="7">
    <xf numFmtId="0" fontId="0" fillId="0" borderId="0" xfId="0"/>
    <xf numFmtId="0" fontId="19" fillId="0" borderId="0" xfId="43" applyFont="1" applyAlignment="1">
      <alignment horizontal="center" vertical="center" wrapText="1"/>
    </xf>
    <xf numFmtId="0" fontId="19" fillId="33" borderId="0" xfId="43" applyFont="1" applyFill="1" applyAlignment="1">
      <alignment horizontal="center" vertical="center" wrapText="1"/>
    </xf>
    <xf numFmtId="0" fontId="18" fillId="0" borderId="0" xfId="43"/>
    <xf numFmtId="0" fontId="18" fillId="0" borderId="0" xfId="43" applyAlignment="1">
      <alignment horizontal="center" vertical="center"/>
    </xf>
    <xf numFmtId="0" fontId="18" fillId="33" borderId="0" xfId="43" applyFill="1" applyAlignment="1">
      <alignment horizontal="center" vertical="center"/>
    </xf>
    <xf numFmtId="0" fontId="20" fillId="0" borderId="0" xfId="44"/>
  </cellXfs>
  <cellStyles count="45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/>
    <cellStyle name="Normal 2 2" xfId="43"/>
    <cellStyle name="Normal 3 2" xfId="44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P301"/>
  <sheetViews>
    <sheetView workbookViewId="0">
      <selection activeCell="A19" sqref="A19"/>
    </sheetView>
  </sheetViews>
  <sheetFormatPr defaultRowHeight="15" x14ac:dyDescent="0.25"/>
  <cols>
    <col min="5" max="5" width="27" bestFit="1" customWidth="1"/>
    <col min="6" max="6" width="28.5703125" bestFit="1" customWidth="1"/>
    <col min="8" max="8" width="12.42578125" bestFit="1" customWidth="1"/>
    <col min="9" max="9" width="15.7109375" customWidth="1"/>
    <col min="10" max="10" width="13" customWidth="1"/>
    <col min="15" max="15" width="15.85546875" customWidth="1"/>
    <col min="16" max="16" width="12.425781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>
        <v>1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>
        <v>30</v>
      </c>
      <c r="K2" t="s">
        <v>4</v>
      </c>
      <c r="L2" t="s">
        <v>24</v>
      </c>
      <c r="M2" t="s">
        <v>25</v>
      </c>
      <c r="N2" t="s">
        <v>26</v>
      </c>
      <c r="O2">
        <v>0.6</v>
      </c>
      <c r="P2">
        <v>0.79</v>
      </c>
    </row>
    <row r="3" spans="1:16" x14ac:dyDescent="0.25">
      <c r="A3">
        <v>4</v>
      </c>
      <c r="B3" t="s">
        <v>27</v>
      </c>
      <c r="C3" t="s">
        <v>17</v>
      </c>
      <c r="D3" t="s">
        <v>18</v>
      </c>
      <c r="E3" t="s">
        <v>28</v>
      </c>
      <c r="F3" t="s">
        <v>29</v>
      </c>
      <c r="G3" t="s">
        <v>21</v>
      </c>
      <c r="H3" t="s">
        <v>30</v>
      </c>
      <c r="I3" t="s">
        <v>23</v>
      </c>
      <c r="J3" t="s">
        <v>1183</v>
      </c>
      <c r="K3" t="s">
        <v>4</v>
      </c>
      <c r="L3" t="s">
        <v>24</v>
      </c>
      <c r="M3" t="s">
        <v>31</v>
      </c>
      <c r="N3" t="s">
        <v>26</v>
      </c>
      <c r="O3">
        <v>0.6</v>
      </c>
      <c r="P3">
        <v>0.79</v>
      </c>
    </row>
    <row r="4" spans="1:16" x14ac:dyDescent="0.25">
      <c r="A4">
        <v>2</v>
      </c>
      <c r="B4" t="s">
        <v>32</v>
      </c>
      <c r="C4" t="s">
        <v>17</v>
      </c>
      <c r="D4" t="s">
        <v>18</v>
      </c>
      <c r="E4" t="s">
        <v>33</v>
      </c>
      <c r="F4" t="s">
        <v>34</v>
      </c>
      <c r="G4" t="s">
        <v>35</v>
      </c>
      <c r="H4" t="s">
        <v>30</v>
      </c>
      <c r="I4" t="s">
        <v>6</v>
      </c>
      <c r="J4">
        <v>12</v>
      </c>
      <c r="K4" t="s">
        <v>4</v>
      </c>
      <c r="L4" t="s">
        <v>24</v>
      </c>
      <c r="M4" t="s">
        <v>36</v>
      </c>
      <c r="N4" t="s">
        <v>26</v>
      </c>
      <c r="O4">
        <v>0.6</v>
      </c>
      <c r="P4">
        <v>0.79</v>
      </c>
    </row>
    <row r="5" spans="1:16" x14ac:dyDescent="0.25">
      <c r="A5">
        <v>3</v>
      </c>
      <c r="B5" t="s">
        <v>37</v>
      </c>
      <c r="C5" t="s">
        <v>17</v>
      </c>
      <c r="D5" t="s">
        <v>18</v>
      </c>
      <c r="E5" t="s">
        <v>38</v>
      </c>
      <c r="F5" t="s">
        <v>39</v>
      </c>
      <c r="G5" t="s">
        <v>40</v>
      </c>
      <c r="H5" t="s">
        <v>40</v>
      </c>
      <c r="I5" t="s">
        <v>40</v>
      </c>
      <c r="J5" t="s">
        <v>1183</v>
      </c>
      <c r="K5" t="s">
        <v>3</v>
      </c>
      <c r="L5" t="s">
        <v>24</v>
      </c>
      <c r="N5" t="s">
        <v>26</v>
      </c>
      <c r="P5">
        <v>0.79</v>
      </c>
    </row>
    <row r="6" spans="1:16" x14ac:dyDescent="0.25">
      <c r="A6">
        <v>6</v>
      </c>
      <c r="B6" t="s">
        <v>41</v>
      </c>
      <c r="C6" t="s">
        <v>42</v>
      </c>
      <c r="D6" t="s">
        <v>43</v>
      </c>
      <c r="E6" t="s">
        <v>44</v>
      </c>
      <c r="F6" t="s">
        <v>45</v>
      </c>
      <c r="G6" t="s">
        <v>21</v>
      </c>
      <c r="H6" t="s">
        <v>30</v>
      </c>
      <c r="I6" t="s">
        <v>23</v>
      </c>
      <c r="J6">
        <v>45</v>
      </c>
      <c r="K6" t="s">
        <v>4</v>
      </c>
      <c r="L6" t="s">
        <v>24</v>
      </c>
      <c r="M6" t="s">
        <v>46</v>
      </c>
      <c r="N6" t="s">
        <v>26</v>
      </c>
    </row>
    <row r="7" spans="1:16" x14ac:dyDescent="0.25">
      <c r="A7">
        <v>8</v>
      </c>
      <c r="B7" t="s">
        <v>47</v>
      </c>
      <c r="C7" t="s">
        <v>42</v>
      </c>
      <c r="D7" t="s">
        <v>43</v>
      </c>
      <c r="E7" t="s">
        <v>48</v>
      </c>
      <c r="F7" t="s">
        <v>49</v>
      </c>
      <c r="G7" t="s">
        <v>40</v>
      </c>
      <c r="H7" t="s">
        <v>40</v>
      </c>
      <c r="I7" t="s">
        <v>40</v>
      </c>
      <c r="J7" t="s">
        <v>1183</v>
      </c>
      <c r="K7" t="s">
        <v>3</v>
      </c>
      <c r="L7" t="s">
        <v>24</v>
      </c>
      <c r="N7" t="s">
        <v>26</v>
      </c>
    </row>
    <row r="8" spans="1:16" x14ac:dyDescent="0.25">
      <c r="A8">
        <v>65</v>
      </c>
      <c r="B8" t="s">
        <v>50</v>
      </c>
      <c r="C8" t="s">
        <v>42</v>
      </c>
      <c r="D8" t="s">
        <v>51</v>
      </c>
      <c r="E8" t="s">
        <v>52</v>
      </c>
      <c r="F8" t="s">
        <v>53</v>
      </c>
      <c r="G8" t="s">
        <v>35</v>
      </c>
      <c r="H8" t="s">
        <v>30</v>
      </c>
      <c r="I8" t="s">
        <v>23</v>
      </c>
      <c r="J8">
        <v>30</v>
      </c>
      <c r="K8" t="s">
        <v>4</v>
      </c>
      <c r="L8" t="s">
        <v>24</v>
      </c>
      <c r="M8" t="s">
        <v>54</v>
      </c>
      <c r="N8" t="s">
        <v>26</v>
      </c>
      <c r="O8">
        <v>0.5</v>
      </c>
      <c r="P8">
        <v>0.85</v>
      </c>
    </row>
    <row r="9" spans="1:16" x14ac:dyDescent="0.25">
      <c r="A9">
        <v>7</v>
      </c>
      <c r="B9" t="s">
        <v>55</v>
      </c>
      <c r="C9" t="s">
        <v>42</v>
      </c>
      <c r="D9" t="s">
        <v>51</v>
      </c>
      <c r="E9" t="s">
        <v>56</v>
      </c>
      <c r="F9" t="s">
        <v>57</v>
      </c>
      <c r="G9" t="s">
        <v>40</v>
      </c>
      <c r="H9" t="s">
        <v>30</v>
      </c>
      <c r="I9" t="s">
        <v>23</v>
      </c>
      <c r="J9">
        <v>30</v>
      </c>
      <c r="K9" t="s">
        <v>4</v>
      </c>
      <c r="L9" t="s">
        <v>24</v>
      </c>
      <c r="M9" t="s">
        <v>58</v>
      </c>
      <c r="N9" t="s">
        <v>26</v>
      </c>
      <c r="O9">
        <v>0.5</v>
      </c>
      <c r="P9">
        <v>0.85</v>
      </c>
    </row>
    <row r="10" spans="1:16" x14ac:dyDescent="0.25">
      <c r="A10">
        <v>64</v>
      </c>
      <c r="B10" t="s">
        <v>59</v>
      </c>
      <c r="C10" t="s">
        <v>42</v>
      </c>
      <c r="D10" t="s">
        <v>51</v>
      </c>
      <c r="E10" t="s">
        <v>60</v>
      </c>
      <c r="F10" t="s">
        <v>61</v>
      </c>
      <c r="G10" t="s">
        <v>21</v>
      </c>
      <c r="H10" t="s">
        <v>30</v>
      </c>
      <c r="I10" t="s">
        <v>23</v>
      </c>
      <c r="J10">
        <v>30</v>
      </c>
      <c r="K10" t="s">
        <v>4</v>
      </c>
      <c r="L10" t="s">
        <v>24</v>
      </c>
      <c r="N10" t="s">
        <v>26</v>
      </c>
      <c r="O10">
        <v>0.5</v>
      </c>
      <c r="P10">
        <v>0.85</v>
      </c>
    </row>
    <row r="11" spans="1:16" x14ac:dyDescent="0.25">
      <c r="A11">
        <v>282</v>
      </c>
      <c r="B11" t="s">
        <v>62</v>
      </c>
      <c r="C11" t="s">
        <v>42</v>
      </c>
      <c r="D11" t="s">
        <v>63</v>
      </c>
      <c r="E11" t="s">
        <v>63</v>
      </c>
      <c r="F11" t="s">
        <v>64</v>
      </c>
      <c r="G11" t="s">
        <v>21</v>
      </c>
      <c r="H11" t="s">
        <v>30</v>
      </c>
      <c r="I11" t="s">
        <v>23</v>
      </c>
      <c r="J11">
        <v>30</v>
      </c>
      <c r="K11" t="s">
        <v>4</v>
      </c>
      <c r="L11" t="s">
        <v>24</v>
      </c>
      <c r="M11" t="s">
        <v>65</v>
      </c>
      <c r="N11" t="s">
        <v>26</v>
      </c>
    </row>
    <row r="12" spans="1:16" x14ac:dyDescent="0.25">
      <c r="A12">
        <v>15</v>
      </c>
      <c r="B12" t="s">
        <v>66</v>
      </c>
      <c r="C12" t="s">
        <v>67</v>
      </c>
      <c r="D12" t="s">
        <v>68</v>
      </c>
      <c r="E12" t="s">
        <v>69</v>
      </c>
      <c r="F12" t="s">
        <v>70</v>
      </c>
      <c r="G12" t="s">
        <v>35</v>
      </c>
      <c r="H12" t="s">
        <v>30</v>
      </c>
      <c r="I12" t="s">
        <v>6</v>
      </c>
      <c r="J12">
        <v>75</v>
      </c>
      <c r="K12" t="s">
        <v>4</v>
      </c>
      <c r="L12" t="s">
        <v>24</v>
      </c>
      <c r="M12" t="s">
        <v>71</v>
      </c>
      <c r="N12" t="s">
        <v>26</v>
      </c>
      <c r="O12">
        <v>0.72</v>
      </c>
      <c r="P12">
        <v>0.84</v>
      </c>
    </row>
    <row r="13" spans="1:16" x14ac:dyDescent="0.25">
      <c r="A13">
        <v>11</v>
      </c>
      <c r="B13" t="s">
        <v>72</v>
      </c>
      <c r="C13" t="s">
        <v>67</v>
      </c>
      <c r="D13" t="s">
        <v>68</v>
      </c>
      <c r="E13" t="s">
        <v>73</v>
      </c>
      <c r="F13" t="s">
        <v>74</v>
      </c>
      <c r="G13" t="s">
        <v>21</v>
      </c>
      <c r="H13" t="s">
        <v>30</v>
      </c>
      <c r="I13" t="s">
        <v>23</v>
      </c>
      <c r="J13">
        <v>90</v>
      </c>
      <c r="K13" t="s">
        <v>4</v>
      </c>
      <c r="L13" t="s">
        <v>24</v>
      </c>
      <c r="M13" t="s">
        <v>75</v>
      </c>
      <c r="N13" t="s">
        <v>26</v>
      </c>
      <c r="O13">
        <v>0.6</v>
      </c>
      <c r="P13">
        <v>0.85</v>
      </c>
    </row>
    <row r="14" spans="1:16" x14ac:dyDescent="0.25">
      <c r="A14">
        <v>13</v>
      </c>
      <c r="B14" t="s">
        <v>76</v>
      </c>
      <c r="C14" t="s">
        <v>67</v>
      </c>
      <c r="D14" t="s">
        <v>68</v>
      </c>
      <c r="E14" t="s">
        <v>77</v>
      </c>
      <c r="F14" t="s">
        <v>78</v>
      </c>
      <c r="G14" t="s">
        <v>21</v>
      </c>
      <c r="H14" t="s">
        <v>30</v>
      </c>
      <c r="I14" t="s">
        <v>23</v>
      </c>
      <c r="J14" t="s">
        <v>1183</v>
      </c>
      <c r="K14" t="s">
        <v>4</v>
      </c>
      <c r="L14" t="s">
        <v>24</v>
      </c>
      <c r="N14" t="s">
        <v>26</v>
      </c>
      <c r="O14">
        <v>0.5</v>
      </c>
      <c r="P14">
        <v>0.84</v>
      </c>
    </row>
    <row r="15" spans="1:16" x14ac:dyDescent="0.25">
      <c r="A15">
        <v>9</v>
      </c>
      <c r="B15" t="s">
        <v>79</v>
      </c>
      <c r="C15" t="s">
        <v>67</v>
      </c>
      <c r="D15" t="s">
        <v>68</v>
      </c>
      <c r="E15" t="s">
        <v>80</v>
      </c>
      <c r="F15" t="s">
        <v>81</v>
      </c>
      <c r="G15" t="s">
        <v>35</v>
      </c>
      <c r="H15" t="s">
        <v>30</v>
      </c>
      <c r="I15" t="s">
        <v>6</v>
      </c>
      <c r="J15">
        <v>50</v>
      </c>
      <c r="K15" t="s">
        <v>4</v>
      </c>
      <c r="L15" t="s">
        <v>24</v>
      </c>
      <c r="M15" t="s">
        <v>82</v>
      </c>
      <c r="N15" t="s">
        <v>26</v>
      </c>
      <c r="O15">
        <v>0.56999999999999995</v>
      </c>
      <c r="P15">
        <v>0.84</v>
      </c>
    </row>
    <row r="16" spans="1:16" x14ac:dyDescent="0.25">
      <c r="A16">
        <v>12</v>
      </c>
      <c r="B16" t="s">
        <v>83</v>
      </c>
      <c r="C16" t="s">
        <v>67</v>
      </c>
      <c r="D16" t="s">
        <v>68</v>
      </c>
      <c r="E16" t="s">
        <v>84</v>
      </c>
      <c r="F16" t="s">
        <v>85</v>
      </c>
      <c r="G16" t="s">
        <v>35</v>
      </c>
      <c r="H16" t="s">
        <v>30</v>
      </c>
      <c r="I16" t="s">
        <v>6</v>
      </c>
      <c r="J16">
        <v>50</v>
      </c>
      <c r="K16" t="s">
        <v>4</v>
      </c>
      <c r="L16" t="s">
        <v>24</v>
      </c>
      <c r="M16" t="s">
        <v>86</v>
      </c>
      <c r="N16" t="s">
        <v>26</v>
      </c>
      <c r="O16">
        <v>0.67</v>
      </c>
      <c r="P16">
        <v>0.83</v>
      </c>
    </row>
    <row r="17" spans="1:16" x14ac:dyDescent="0.25">
      <c r="A17">
        <v>10</v>
      </c>
      <c r="B17" t="s">
        <v>87</v>
      </c>
      <c r="C17" t="s">
        <v>67</v>
      </c>
      <c r="D17" t="s">
        <v>68</v>
      </c>
      <c r="E17" t="s">
        <v>88</v>
      </c>
      <c r="F17" t="s">
        <v>89</v>
      </c>
      <c r="G17" t="s">
        <v>21</v>
      </c>
      <c r="H17" t="s">
        <v>30</v>
      </c>
      <c r="I17" t="s">
        <v>23</v>
      </c>
      <c r="J17">
        <v>20</v>
      </c>
      <c r="K17" t="s">
        <v>4</v>
      </c>
      <c r="L17" t="s">
        <v>24</v>
      </c>
      <c r="M17" t="s">
        <v>90</v>
      </c>
      <c r="N17" t="s">
        <v>26</v>
      </c>
      <c r="O17">
        <v>0.6</v>
      </c>
      <c r="P17">
        <v>0.84</v>
      </c>
    </row>
    <row r="18" spans="1:16" x14ac:dyDescent="0.25">
      <c r="A18">
        <v>14</v>
      </c>
      <c r="B18" t="s">
        <v>91</v>
      </c>
      <c r="C18" t="s">
        <v>67</v>
      </c>
      <c r="D18" t="s">
        <v>68</v>
      </c>
      <c r="E18" t="s">
        <v>92</v>
      </c>
      <c r="F18" t="s">
        <v>93</v>
      </c>
      <c r="G18" t="s">
        <v>40</v>
      </c>
      <c r="H18" t="s">
        <v>40</v>
      </c>
      <c r="I18" t="s">
        <v>40</v>
      </c>
      <c r="J18" t="s">
        <v>1183</v>
      </c>
      <c r="K18" t="s">
        <v>3</v>
      </c>
      <c r="L18" t="s">
        <v>24</v>
      </c>
      <c r="N18" t="s">
        <v>26</v>
      </c>
      <c r="P18">
        <v>0.84</v>
      </c>
    </row>
    <row r="19" spans="1:16" x14ac:dyDescent="0.25">
      <c r="A19">
        <v>19</v>
      </c>
      <c r="B19" t="s">
        <v>94</v>
      </c>
      <c r="C19" t="s">
        <v>95</v>
      </c>
      <c r="D19" t="s">
        <v>96</v>
      </c>
      <c r="E19" t="s">
        <v>97</v>
      </c>
      <c r="F19" t="s">
        <v>98</v>
      </c>
      <c r="G19" t="s">
        <v>35</v>
      </c>
      <c r="H19" t="s">
        <v>30</v>
      </c>
      <c r="I19" t="s">
        <v>6</v>
      </c>
      <c r="J19">
        <v>80</v>
      </c>
      <c r="K19" t="s">
        <v>4</v>
      </c>
      <c r="L19" t="s">
        <v>24</v>
      </c>
      <c r="M19" t="s">
        <v>99</v>
      </c>
      <c r="N19" t="s">
        <v>26</v>
      </c>
      <c r="O19">
        <v>0.7</v>
      </c>
      <c r="P19">
        <v>0.88</v>
      </c>
    </row>
    <row r="20" spans="1:16" x14ac:dyDescent="0.25">
      <c r="A20">
        <v>22</v>
      </c>
      <c r="B20" t="s">
        <v>100</v>
      </c>
      <c r="C20" t="s">
        <v>95</v>
      </c>
      <c r="D20" t="s">
        <v>96</v>
      </c>
      <c r="E20" t="s">
        <v>101</v>
      </c>
      <c r="F20" t="s">
        <v>102</v>
      </c>
      <c r="G20" t="s">
        <v>40</v>
      </c>
      <c r="H20" t="s">
        <v>40</v>
      </c>
      <c r="I20" t="s">
        <v>40</v>
      </c>
      <c r="J20" t="s">
        <v>1183</v>
      </c>
      <c r="K20" t="s">
        <v>3</v>
      </c>
      <c r="L20" t="s">
        <v>24</v>
      </c>
      <c r="N20" t="s">
        <v>26</v>
      </c>
      <c r="P20">
        <v>0.88</v>
      </c>
    </row>
    <row r="21" spans="1:16" x14ac:dyDescent="0.25">
      <c r="A21">
        <v>21</v>
      </c>
      <c r="B21" t="s">
        <v>103</v>
      </c>
      <c r="C21" t="s">
        <v>95</v>
      </c>
      <c r="D21" t="s">
        <v>96</v>
      </c>
      <c r="E21" t="s">
        <v>104</v>
      </c>
      <c r="F21" t="s">
        <v>105</v>
      </c>
      <c r="G21" t="s">
        <v>21</v>
      </c>
      <c r="H21" t="s">
        <v>30</v>
      </c>
      <c r="I21" t="s">
        <v>23</v>
      </c>
      <c r="J21">
        <v>100</v>
      </c>
      <c r="K21" t="s">
        <v>4</v>
      </c>
      <c r="L21" t="s">
        <v>24</v>
      </c>
      <c r="M21" t="s">
        <v>65</v>
      </c>
      <c r="N21" t="s">
        <v>26</v>
      </c>
      <c r="O21">
        <v>0.83</v>
      </c>
      <c r="P21">
        <v>0.88</v>
      </c>
    </row>
    <row r="22" spans="1:16" x14ac:dyDescent="0.25">
      <c r="A22">
        <v>26</v>
      </c>
      <c r="B22" t="s">
        <v>106</v>
      </c>
      <c r="C22" t="s">
        <v>17</v>
      </c>
      <c r="D22" t="s">
        <v>107</v>
      </c>
      <c r="E22" t="s">
        <v>108</v>
      </c>
      <c r="F22" t="s">
        <v>109</v>
      </c>
      <c r="G22" t="s">
        <v>21</v>
      </c>
      <c r="H22" t="s">
        <v>30</v>
      </c>
      <c r="I22" t="s">
        <v>23</v>
      </c>
      <c r="J22">
        <v>20</v>
      </c>
      <c r="K22" t="s">
        <v>4</v>
      </c>
      <c r="L22" t="s">
        <v>24</v>
      </c>
      <c r="M22" t="s">
        <v>110</v>
      </c>
      <c r="N22" t="s">
        <v>26</v>
      </c>
      <c r="O22">
        <v>0.55000000000000004</v>
      </c>
      <c r="P22">
        <v>0.82</v>
      </c>
    </row>
    <row r="23" spans="1:16" x14ac:dyDescent="0.25">
      <c r="A23">
        <v>30</v>
      </c>
      <c r="B23" t="s">
        <v>111</v>
      </c>
      <c r="C23" t="s">
        <v>17</v>
      </c>
      <c r="D23" t="s">
        <v>107</v>
      </c>
      <c r="E23" t="s">
        <v>112</v>
      </c>
      <c r="F23" t="s">
        <v>113</v>
      </c>
      <c r="G23" t="s">
        <v>35</v>
      </c>
      <c r="H23" t="s">
        <v>30</v>
      </c>
      <c r="I23" t="s">
        <v>6</v>
      </c>
      <c r="J23">
        <v>80</v>
      </c>
      <c r="K23" t="s">
        <v>4</v>
      </c>
      <c r="L23" t="s">
        <v>24</v>
      </c>
      <c r="M23" t="s">
        <v>114</v>
      </c>
      <c r="N23" t="s">
        <v>26</v>
      </c>
      <c r="O23">
        <v>0.64</v>
      </c>
      <c r="P23">
        <v>0.82</v>
      </c>
    </row>
    <row r="24" spans="1:16" x14ac:dyDescent="0.25">
      <c r="A24">
        <v>23</v>
      </c>
      <c r="B24" t="s">
        <v>115</v>
      </c>
      <c r="C24" t="s">
        <v>17</v>
      </c>
      <c r="D24" t="s">
        <v>107</v>
      </c>
      <c r="E24" t="s">
        <v>116</v>
      </c>
      <c r="F24" t="s">
        <v>117</v>
      </c>
      <c r="G24" t="s">
        <v>35</v>
      </c>
      <c r="H24" t="s">
        <v>30</v>
      </c>
      <c r="I24" t="s">
        <v>23</v>
      </c>
      <c r="J24" t="s">
        <v>1183</v>
      </c>
      <c r="K24" t="s">
        <v>4</v>
      </c>
      <c r="L24" t="s">
        <v>24</v>
      </c>
      <c r="M24" t="s">
        <v>118</v>
      </c>
      <c r="N24" t="s">
        <v>26</v>
      </c>
      <c r="O24">
        <v>0.55000000000000004</v>
      </c>
      <c r="P24">
        <v>0.82</v>
      </c>
    </row>
    <row r="25" spans="1:16" x14ac:dyDescent="0.25">
      <c r="A25">
        <v>312</v>
      </c>
      <c r="B25" t="s">
        <v>119</v>
      </c>
      <c r="C25" t="s">
        <v>17</v>
      </c>
      <c r="D25" t="s">
        <v>107</v>
      </c>
      <c r="E25" t="s">
        <v>120</v>
      </c>
      <c r="F25" t="s">
        <v>121</v>
      </c>
      <c r="G25" t="s">
        <v>21</v>
      </c>
      <c r="H25" t="s">
        <v>30</v>
      </c>
      <c r="I25" t="s">
        <v>23</v>
      </c>
      <c r="J25">
        <v>15</v>
      </c>
      <c r="K25" t="s">
        <v>4</v>
      </c>
      <c r="L25" t="s">
        <v>24</v>
      </c>
      <c r="M25" t="s">
        <v>122</v>
      </c>
      <c r="N25" t="s">
        <v>26</v>
      </c>
      <c r="P25">
        <v>0.82</v>
      </c>
    </row>
    <row r="26" spans="1:16" x14ac:dyDescent="0.25">
      <c r="A26">
        <v>27</v>
      </c>
      <c r="B26" t="s">
        <v>123</v>
      </c>
      <c r="C26" t="s">
        <v>17</v>
      </c>
      <c r="D26" t="s">
        <v>107</v>
      </c>
      <c r="E26" t="s">
        <v>124</v>
      </c>
      <c r="F26" t="s">
        <v>125</v>
      </c>
      <c r="G26" t="s">
        <v>21</v>
      </c>
      <c r="H26" t="s">
        <v>30</v>
      </c>
      <c r="I26" t="s">
        <v>23</v>
      </c>
      <c r="J26">
        <v>25</v>
      </c>
      <c r="K26" t="s">
        <v>4</v>
      </c>
      <c r="L26" t="s">
        <v>24</v>
      </c>
      <c r="N26" t="s">
        <v>26</v>
      </c>
      <c r="O26">
        <v>0.7</v>
      </c>
      <c r="P26">
        <v>0.82</v>
      </c>
    </row>
    <row r="27" spans="1:16" x14ac:dyDescent="0.25">
      <c r="A27">
        <v>29</v>
      </c>
      <c r="B27" t="s">
        <v>126</v>
      </c>
      <c r="C27" t="s">
        <v>17</v>
      </c>
      <c r="D27" t="s">
        <v>107</v>
      </c>
      <c r="E27" t="s">
        <v>127</v>
      </c>
      <c r="F27" t="s">
        <v>128</v>
      </c>
      <c r="G27" t="s">
        <v>35</v>
      </c>
      <c r="H27" t="s">
        <v>30</v>
      </c>
      <c r="I27" t="s">
        <v>6</v>
      </c>
      <c r="J27">
        <v>45</v>
      </c>
      <c r="K27" t="s">
        <v>4</v>
      </c>
      <c r="L27" t="s">
        <v>24</v>
      </c>
      <c r="M27" t="s">
        <v>122</v>
      </c>
      <c r="N27" t="s">
        <v>26</v>
      </c>
      <c r="O27">
        <v>0.5</v>
      </c>
      <c r="P27">
        <v>0.82</v>
      </c>
    </row>
    <row r="28" spans="1:16" x14ac:dyDescent="0.25">
      <c r="A28">
        <v>24</v>
      </c>
      <c r="B28" t="s">
        <v>129</v>
      </c>
      <c r="C28" t="s">
        <v>17</v>
      </c>
      <c r="D28" t="s">
        <v>107</v>
      </c>
      <c r="E28" t="s">
        <v>130</v>
      </c>
      <c r="F28" t="s">
        <v>131</v>
      </c>
      <c r="G28" t="s">
        <v>21</v>
      </c>
      <c r="H28" t="s">
        <v>22</v>
      </c>
      <c r="I28" t="s">
        <v>23</v>
      </c>
      <c r="J28">
        <v>30</v>
      </c>
      <c r="K28" t="s">
        <v>4</v>
      </c>
      <c r="L28" t="s">
        <v>24</v>
      </c>
      <c r="M28" t="s">
        <v>132</v>
      </c>
      <c r="N28" t="s">
        <v>26</v>
      </c>
      <c r="O28">
        <v>0.5</v>
      </c>
      <c r="P28">
        <v>0.82</v>
      </c>
    </row>
    <row r="29" spans="1:16" x14ac:dyDescent="0.25">
      <c r="A29">
        <v>25</v>
      </c>
      <c r="B29" t="s">
        <v>133</v>
      </c>
      <c r="C29" t="s">
        <v>17</v>
      </c>
      <c r="D29" t="s">
        <v>107</v>
      </c>
      <c r="E29" t="s">
        <v>134</v>
      </c>
      <c r="F29" t="s">
        <v>135</v>
      </c>
      <c r="G29" t="s">
        <v>35</v>
      </c>
      <c r="H29" t="s">
        <v>30</v>
      </c>
      <c r="I29" t="s">
        <v>6</v>
      </c>
      <c r="J29">
        <v>15</v>
      </c>
      <c r="K29" t="s">
        <v>4</v>
      </c>
      <c r="L29" t="s">
        <v>24</v>
      </c>
      <c r="M29" t="s">
        <v>136</v>
      </c>
      <c r="N29" t="s">
        <v>26</v>
      </c>
      <c r="O29">
        <v>0.55000000000000004</v>
      </c>
      <c r="P29">
        <v>0.82</v>
      </c>
    </row>
    <row r="30" spans="1:16" x14ac:dyDescent="0.25">
      <c r="A30">
        <v>28</v>
      </c>
      <c r="B30" t="s">
        <v>137</v>
      </c>
      <c r="C30" t="s">
        <v>17</v>
      </c>
      <c r="D30" t="s">
        <v>107</v>
      </c>
      <c r="E30" t="s">
        <v>138</v>
      </c>
      <c r="F30" t="s">
        <v>139</v>
      </c>
      <c r="G30" t="s">
        <v>40</v>
      </c>
      <c r="H30" t="s">
        <v>40</v>
      </c>
      <c r="I30" t="s">
        <v>40</v>
      </c>
      <c r="J30" t="s">
        <v>1183</v>
      </c>
      <c r="K30" t="s">
        <v>3</v>
      </c>
      <c r="L30" t="s">
        <v>24</v>
      </c>
      <c r="N30" t="s">
        <v>26</v>
      </c>
      <c r="P30">
        <v>0.82</v>
      </c>
    </row>
    <row r="31" spans="1:16" x14ac:dyDescent="0.25">
      <c r="A31">
        <v>142</v>
      </c>
      <c r="B31" t="s">
        <v>140</v>
      </c>
      <c r="C31" t="s">
        <v>141</v>
      </c>
      <c r="D31" t="s">
        <v>142</v>
      </c>
      <c r="E31" t="s">
        <v>142</v>
      </c>
      <c r="F31" t="s">
        <v>143</v>
      </c>
      <c r="G31" t="s">
        <v>21</v>
      </c>
      <c r="H31" t="s">
        <v>22</v>
      </c>
      <c r="I31" t="s">
        <v>23</v>
      </c>
      <c r="J31">
        <v>60</v>
      </c>
      <c r="K31" t="s">
        <v>4</v>
      </c>
      <c r="L31" t="s">
        <v>24</v>
      </c>
      <c r="M31" t="s">
        <v>144</v>
      </c>
      <c r="N31" t="s">
        <v>26</v>
      </c>
      <c r="O31">
        <v>0.56000000000000005</v>
      </c>
      <c r="P31">
        <v>0.79</v>
      </c>
    </row>
    <row r="32" spans="1:16" x14ac:dyDescent="0.25">
      <c r="A32">
        <v>319</v>
      </c>
      <c r="B32" t="s">
        <v>145</v>
      </c>
      <c r="C32" t="s">
        <v>146</v>
      </c>
      <c r="D32" t="s">
        <v>147</v>
      </c>
      <c r="E32" t="s">
        <v>148</v>
      </c>
      <c r="F32" t="s">
        <v>149</v>
      </c>
      <c r="G32" t="s">
        <v>21</v>
      </c>
      <c r="H32" t="s">
        <v>30</v>
      </c>
      <c r="I32" t="s">
        <v>23</v>
      </c>
      <c r="K32" t="s">
        <v>4</v>
      </c>
      <c r="L32" t="s">
        <v>24</v>
      </c>
      <c r="M32" t="s">
        <v>150</v>
      </c>
      <c r="N32" t="s">
        <v>26</v>
      </c>
      <c r="O32">
        <v>0.65</v>
      </c>
      <c r="P32">
        <v>0.88</v>
      </c>
    </row>
    <row r="33" spans="1:16" x14ac:dyDescent="0.25">
      <c r="A33">
        <v>32</v>
      </c>
      <c r="B33" t="s">
        <v>151</v>
      </c>
      <c r="C33" t="s">
        <v>146</v>
      </c>
      <c r="D33" t="s">
        <v>147</v>
      </c>
      <c r="E33" t="s">
        <v>152</v>
      </c>
      <c r="F33" t="s">
        <v>153</v>
      </c>
      <c r="G33" t="s">
        <v>35</v>
      </c>
      <c r="H33" t="s">
        <v>30</v>
      </c>
      <c r="I33" t="s">
        <v>23</v>
      </c>
      <c r="J33">
        <v>60</v>
      </c>
      <c r="K33" t="s">
        <v>4</v>
      </c>
      <c r="L33" t="s">
        <v>24</v>
      </c>
      <c r="M33" t="s">
        <v>154</v>
      </c>
      <c r="N33" t="s">
        <v>26</v>
      </c>
      <c r="O33">
        <v>0.65</v>
      </c>
      <c r="P33">
        <v>0.88</v>
      </c>
    </row>
    <row r="34" spans="1:16" x14ac:dyDescent="0.25">
      <c r="A34">
        <v>119</v>
      </c>
      <c r="B34" t="s">
        <v>155</v>
      </c>
      <c r="C34" t="s">
        <v>146</v>
      </c>
      <c r="D34" t="s">
        <v>147</v>
      </c>
      <c r="E34" t="s">
        <v>156</v>
      </c>
      <c r="F34" t="s">
        <v>157</v>
      </c>
      <c r="G34" t="s">
        <v>21</v>
      </c>
      <c r="H34" t="s">
        <v>30</v>
      </c>
      <c r="I34" t="s">
        <v>23</v>
      </c>
      <c r="J34">
        <v>70</v>
      </c>
      <c r="K34" t="s">
        <v>4</v>
      </c>
      <c r="L34" t="s">
        <v>24</v>
      </c>
      <c r="M34" t="s">
        <v>158</v>
      </c>
      <c r="N34" t="s">
        <v>26</v>
      </c>
      <c r="O34">
        <v>0.63</v>
      </c>
      <c r="P34">
        <v>0.88</v>
      </c>
    </row>
    <row r="35" spans="1:16" x14ac:dyDescent="0.25">
      <c r="A35">
        <v>35</v>
      </c>
      <c r="B35" t="s">
        <v>159</v>
      </c>
      <c r="C35" t="s">
        <v>146</v>
      </c>
      <c r="D35" t="s">
        <v>147</v>
      </c>
      <c r="E35" t="s">
        <v>160</v>
      </c>
      <c r="F35" t="s">
        <v>161</v>
      </c>
      <c r="G35" t="s">
        <v>21</v>
      </c>
      <c r="H35" t="s">
        <v>30</v>
      </c>
      <c r="I35" t="s">
        <v>23</v>
      </c>
      <c r="J35">
        <v>100</v>
      </c>
      <c r="K35" t="s">
        <v>4</v>
      </c>
      <c r="L35" t="s">
        <v>24</v>
      </c>
      <c r="M35" t="s">
        <v>162</v>
      </c>
      <c r="N35" t="s">
        <v>26</v>
      </c>
      <c r="O35">
        <v>0.65</v>
      </c>
      <c r="P35">
        <v>0.88</v>
      </c>
    </row>
    <row r="36" spans="1:16" x14ac:dyDescent="0.25">
      <c r="A36">
        <v>33</v>
      </c>
      <c r="B36" t="s">
        <v>163</v>
      </c>
      <c r="C36" t="s">
        <v>146</v>
      </c>
      <c r="D36" t="s">
        <v>147</v>
      </c>
      <c r="E36" t="s">
        <v>164</v>
      </c>
      <c r="F36" t="s">
        <v>165</v>
      </c>
      <c r="G36" t="s">
        <v>21</v>
      </c>
      <c r="H36" t="s">
        <v>30</v>
      </c>
      <c r="I36" t="s">
        <v>23</v>
      </c>
      <c r="J36" t="s">
        <v>1183</v>
      </c>
      <c r="K36" t="s">
        <v>4</v>
      </c>
      <c r="L36" t="s">
        <v>24</v>
      </c>
      <c r="M36" t="s">
        <v>166</v>
      </c>
      <c r="N36" t="s">
        <v>26</v>
      </c>
      <c r="O36">
        <v>0.65</v>
      </c>
      <c r="P36">
        <v>0.88</v>
      </c>
    </row>
    <row r="37" spans="1:16" x14ac:dyDescent="0.25">
      <c r="A37">
        <v>121</v>
      </c>
      <c r="B37" t="s">
        <v>167</v>
      </c>
      <c r="C37" t="s">
        <v>146</v>
      </c>
      <c r="D37" t="s">
        <v>147</v>
      </c>
      <c r="E37" t="s">
        <v>168</v>
      </c>
      <c r="F37" t="s">
        <v>169</v>
      </c>
      <c r="G37" t="s">
        <v>21</v>
      </c>
      <c r="H37" t="s">
        <v>30</v>
      </c>
      <c r="I37" t="s">
        <v>23</v>
      </c>
      <c r="J37">
        <v>45</v>
      </c>
      <c r="K37" t="s">
        <v>4</v>
      </c>
      <c r="L37" t="s">
        <v>24</v>
      </c>
      <c r="M37" t="s">
        <v>170</v>
      </c>
      <c r="N37" t="s">
        <v>26</v>
      </c>
      <c r="O37">
        <v>0.65</v>
      </c>
      <c r="P37">
        <v>0.88</v>
      </c>
    </row>
    <row r="38" spans="1:16" x14ac:dyDescent="0.25">
      <c r="A38">
        <v>320</v>
      </c>
      <c r="B38" t="s">
        <v>171</v>
      </c>
      <c r="C38" t="s">
        <v>146</v>
      </c>
      <c r="D38" t="s">
        <v>147</v>
      </c>
      <c r="E38" t="s">
        <v>172</v>
      </c>
      <c r="F38" t="s">
        <v>173</v>
      </c>
      <c r="G38" t="s">
        <v>40</v>
      </c>
      <c r="H38" t="s">
        <v>40</v>
      </c>
      <c r="I38" t="s">
        <v>40</v>
      </c>
      <c r="K38" t="s">
        <v>3</v>
      </c>
      <c r="L38" t="s">
        <v>24</v>
      </c>
      <c r="N38" t="s">
        <v>26</v>
      </c>
    </row>
    <row r="39" spans="1:16" x14ac:dyDescent="0.25">
      <c r="A39">
        <v>31</v>
      </c>
      <c r="B39" t="s">
        <v>174</v>
      </c>
      <c r="C39" t="s">
        <v>175</v>
      </c>
      <c r="D39" t="s">
        <v>176</v>
      </c>
      <c r="E39" t="s">
        <v>177</v>
      </c>
      <c r="F39" t="s">
        <v>178</v>
      </c>
      <c r="G39" t="s">
        <v>21</v>
      </c>
      <c r="H39" t="s">
        <v>22</v>
      </c>
      <c r="I39" t="s">
        <v>23</v>
      </c>
      <c r="J39">
        <v>15</v>
      </c>
      <c r="K39" t="s">
        <v>4</v>
      </c>
      <c r="L39" t="s">
        <v>24</v>
      </c>
      <c r="M39" t="s">
        <v>179</v>
      </c>
      <c r="N39" t="s">
        <v>26</v>
      </c>
      <c r="O39">
        <v>0.4</v>
      </c>
      <c r="P39">
        <v>0.79</v>
      </c>
    </row>
    <row r="40" spans="1:16" x14ac:dyDescent="0.25">
      <c r="A40">
        <v>34</v>
      </c>
      <c r="B40" t="s">
        <v>180</v>
      </c>
      <c r="C40" t="s">
        <v>175</v>
      </c>
      <c r="D40" t="s">
        <v>176</v>
      </c>
      <c r="E40" t="s">
        <v>176</v>
      </c>
      <c r="F40" t="s">
        <v>181</v>
      </c>
      <c r="G40" t="s">
        <v>40</v>
      </c>
      <c r="H40" t="s">
        <v>40</v>
      </c>
      <c r="I40" t="s">
        <v>40</v>
      </c>
      <c r="J40" t="s">
        <v>1183</v>
      </c>
      <c r="K40" t="s">
        <v>3</v>
      </c>
      <c r="L40" t="s">
        <v>24</v>
      </c>
      <c r="N40" t="s">
        <v>26</v>
      </c>
      <c r="P40">
        <v>0.7</v>
      </c>
    </row>
    <row r="41" spans="1:16" x14ac:dyDescent="0.25">
      <c r="A41">
        <v>39</v>
      </c>
      <c r="B41" t="s">
        <v>182</v>
      </c>
      <c r="C41" t="s">
        <v>183</v>
      </c>
      <c r="D41" t="s">
        <v>184</v>
      </c>
      <c r="E41" t="s">
        <v>185</v>
      </c>
      <c r="F41" t="s">
        <v>186</v>
      </c>
      <c r="G41" t="s">
        <v>21</v>
      </c>
      <c r="H41" t="s">
        <v>30</v>
      </c>
      <c r="I41" t="s">
        <v>23</v>
      </c>
      <c r="J41">
        <v>60</v>
      </c>
      <c r="K41" t="s">
        <v>4</v>
      </c>
      <c r="L41" t="s">
        <v>24</v>
      </c>
      <c r="M41" t="s">
        <v>187</v>
      </c>
      <c r="N41" t="s">
        <v>26</v>
      </c>
      <c r="O41">
        <v>0.61</v>
      </c>
      <c r="P41">
        <v>0.76</v>
      </c>
    </row>
    <row r="42" spans="1:16" x14ac:dyDescent="0.25">
      <c r="A42">
        <v>37</v>
      </c>
      <c r="B42" t="s">
        <v>188</v>
      </c>
      <c r="C42" t="s">
        <v>183</v>
      </c>
      <c r="D42" t="s">
        <v>184</v>
      </c>
      <c r="E42" t="s">
        <v>189</v>
      </c>
      <c r="F42" t="s">
        <v>190</v>
      </c>
      <c r="G42" t="s">
        <v>21</v>
      </c>
      <c r="H42" t="s">
        <v>30</v>
      </c>
      <c r="I42" t="s">
        <v>23</v>
      </c>
      <c r="J42" t="s">
        <v>1183</v>
      </c>
      <c r="K42" t="s">
        <v>4</v>
      </c>
      <c r="L42" t="s">
        <v>24</v>
      </c>
      <c r="M42" t="s">
        <v>191</v>
      </c>
      <c r="N42" t="s">
        <v>26</v>
      </c>
      <c r="O42">
        <v>0.6</v>
      </c>
      <c r="P42">
        <v>0.76</v>
      </c>
    </row>
    <row r="43" spans="1:16" x14ac:dyDescent="0.25">
      <c r="A43">
        <v>38</v>
      </c>
      <c r="B43" t="s">
        <v>192</v>
      </c>
      <c r="C43" t="s">
        <v>183</v>
      </c>
      <c r="D43" t="s">
        <v>184</v>
      </c>
      <c r="E43" t="s">
        <v>193</v>
      </c>
      <c r="F43" t="s">
        <v>194</v>
      </c>
      <c r="G43" t="s">
        <v>21</v>
      </c>
      <c r="H43" t="s">
        <v>30</v>
      </c>
      <c r="I43" t="s">
        <v>23</v>
      </c>
      <c r="J43">
        <v>60</v>
      </c>
      <c r="K43" t="s">
        <v>4</v>
      </c>
      <c r="L43" t="s">
        <v>24</v>
      </c>
      <c r="M43" t="s">
        <v>195</v>
      </c>
      <c r="N43" t="s">
        <v>26</v>
      </c>
      <c r="O43">
        <v>0.49</v>
      </c>
      <c r="P43">
        <v>0.76</v>
      </c>
    </row>
    <row r="44" spans="1:16" x14ac:dyDescent="0.25">
      <c r="A44">
        <v>40</v>
      </c>
      <c r="B44" t="s">
        <v>196</v>
      </c>
      <c r="C44" t="s">
        <v>183</v>
      </c>
      <c r="D44" t="s">
        <v>184</v>
      </c>
      <c r="E44" t="s">
        <v>197</v>
      </c>
      <c r="F44" t="s">
        <v>198</v>
      </c>
      <c r="G44" t="s">
        <v>40</v>
      </c>
      <c r="H44" t="s">
        <v>40</v>
      </c>
      <c r="I44" t="s">
        <v>40</v>
      </c>
      <c r="J44" t="s">
        <v>1183</v>
      </c>
      <c r="K44" t="s">
        <v>3</v>
      </c>
      <c r="L44" t="s">
        <v>24</v>
      </c>
      <c r="N44" t="s">
        <v>26</v>
      </c>
      <c r="P44">
        <v>0.76</v>
      </c>
    </row>
    <row r="45" spans="1:16" x14ac:dyDescent="0.25">
      <c r="A45">
        <v>45</v>
      </c>
      <c r="B45" t="s">
        <v>199</v>
      </c>
      <c r="C45" t="s">
        <v>200</v>
      </c>
      <c r="D45" t="s">
        <v>201</v>
      </c>
      <c r="E45" t="s">
        <v>202</v>
      </c>
      <c r="F45" t="s">
        <v>203</v>
      </c>
      <c r="G45" t="s">
        <v>35</v>
      </c>
      <c r="H45" t="s">
        <v>30</v>
      </c>
      <c r="I45" t="s">
        <v>6</v>
      </c>
      <c r="J45">
        <v>50</v>
      </c>
      <c r="K45" t="s">
        <v>4</v>
      </c>
      <c r="L45" t="s">
        <v>204</v>
      </c>
      <c r="M45" t="s">
        <v>205</v>
      </c>
      <c r="N45" t="s">
        <v>26</v>
      </c>
      <c r="O45">
        <v>0.71</v>
      </c>
      <c r="P45">
        <v>0.79</v>
      </c>
    </row>
    <row r="46" spans="1:16" x14ac:dyDescent="0.25">
      <c r="A46">
        <v>42</v>
      </c>
      <c r="B46" t="s">
        <v>206</v>
      </c>
      <c r="C46" t="s">
        <v>200</v>
      </c>
      <c r="D46" t="s">
        <v>201</v>
      </c>
      <c r="E46" t="s">
        <v>207</v>
      </c>
      <c r="F46" t="s">
        <v>208</v>
      </c>
      <c r="G46" t="s">
        <v>21</v>
      </c>
      <c r="H46" t="s">
        <v>30</v>
      </c>
      <c r="I46" t="s">
        <v>23</v>
      </c>
      <c r="J46" t="s">
        <v>1183</v>
      </c>
      <c r="K46" t="s">
        <v>4</v>
      </c>
      <c r="L46" t="s">
        <v>204</v>
      </c>
      <c r="N46" t="s">
        <v>26</v>
      </c>
      <c r="O46">
        <v>0.7</v>
      </c>
      <c r="P46">
        <v>0.79</v>
      </c>
    </row>
    <row r="47" spans="1:16" x14ac:dyDescent="0.25">
      <c r="A47">
        <v>307</v>
      </c>
      <c r="B47" t="s">
        <v>209</v>
      </c>
      <c r="C47" t="s">
        <v>200</v>
      </c>
      <c r="D47" t="s">
        <v>201</v>
      </c>
      <c r="E47" t="s">
        <v>210</v>
      </c>
      <c r="F47" t="s">
        <v>211</v>
      </c>
      <c r="G47" t="s">
        <v>21</v>
      </c>
      <c r="H47" t="s">
        <v>30</v>
      </c>
      <c r="I47" t="s">
        <v>23</v>
      </c>
      <c r="J47">
        <v>100</v>
      </c>
      <c r="K47" t="s">
        <v>4</v>
      </c>
      <c r="L47" t="s">
        <v>204</v>
      </c>
      <c r="M47" t="s">
        <v>212</v>
      </c>
      <c r="N47" t="s">
        <v>26</v>
      </c>
    </row>
    <row r="48" spans="1:16" x14ac:dyDescent="0.25">
      <c r="A48">
        <v>44</v>
      </c>
      <c r="B48" t="s">
        <v>213</v>
      </c>
      <c r="C48" t="s">
        <v>200</v>
      </c>
      <c r="D48" t="s">
        <v>201</v>
      </c>
      <c r="E48" t="s">
        <v>201</v>
      </c>
      <c r="F48" t="s">
        <v>214</v>
      </c>
      <c r="G48" t="s">
        <v>40</v>
      </c>
      <c r="H48" t="s">
        <v>40</v>
      </c>
      <c r="I48" t="s">
        <v>40</v>
      </c>
      <c r="J48" t="s">
        <v>1183</v>
      </c>
      <c r="K48" t="s">
        <v>3</v>
      </c>
      <c r="L48" t="s">
        <v>204</v>
      </c>
      <c r="N48" t="s">
        <v>26</v>
      </c>
      <c r="P48">
        <v>0.7</v>
      </c>
    </row>
    <row r="49" spans="1:16" x14ac:dyDescent="0.25">
      <c r="A49">
        <v>287</v>
      </c>
      <c r="B49" t="s">
        <v>215</v>
      </c>
      <c r="C49" t="s">
        <v>216</v>
      </c>
      <c r="D49" t="s">
        <v>216</v>
      </c>
      <c r="E49" t="s">
        <v>217</v>
      </c>
      <c r="F49" t="s">
        <v>218</v>
      </c>
      <c r="G49" t="s">
        <v>21</v>
      </c>
      <c r="H49" t="s">
        <v>30</v>
      </c>
      <c r="I49" t="s">
        <v>23</v>
      </c>
      <c r="J49" t="s">
        <v>1183</v>
      </c>
      <c r="K49" t="s">
        <v>4</v>
      </c>
      <c r="L49" t="s">
        <v>204</v>
      </c>
      <c r="N49" t="s">
        <v>26</v>
      </c>
    </row>
    <row r="50" spans="1:16" x14ac:dyDescent="0.25">
      <c r="A50">
        <v>214</v>
      </c>
      <c r="B50" t="s">
        <v>219</v>
      </c>
      <c r="C50" t="s">
        <v>42</v>
      </c>
      <c r="D50" t="s">
        <v>220</v>
      </c>
      <c r="E50" t="s">
        <v>221</v>
      </c>
      <c r="F50" t="s">
        <v>222</v>
      </c>
      <c r="G50" t="s">
        <v>35</v>
      </c>
      <c r="H50" t="s">
        <v>30</v>
      </c>
      <c r="I50" t="s">
        <v>23</v>
      </c>
      <c r="J50">
        <v>30</v>
      </c>
      <c r="K50" t="s">
        <v>4</v>
      </c>
      <c r="L50" t="s">
        <v>24</v>
      </c>
      <c r="M50" t="s">
        <v>223</v>
      </c>
      <c r="N50" t="s">
        <v>26</v>
      </c>
      <c r="O50">
        <v>0.5</v>
      </c>
      <c r="P50">
        <v>0.79</v>
      </c>
    </row>
    <row r="51" spans="1:16" x14ac:dyDescent="0.25">
      <c r="A51">
        <v>52</v>
      </c>
      <c r="B51" t="s">
        <v>224</v>
      </c>
      <c r="C51" t="s">
        <v>42</v>
      </c>
      <c r="D51" t="s">
        <v>220</v>
      </c>
      <c r="E51" t="s">
        <v>225</v>
      </c>
      <c r="F51" t="s">
        <v>226</v>
      </c>
      <c r="G51" t="s">
        <v>21</v>
      </c>
      <c r="H51" t="s">
        <v>30</v>
      </c>
      <c r="I51" t="s">
        <v>23</v>
      </c>
      <c r="J51">
        <v>50</v>
      </c>
      <c r="K51" t="s">
        <v>4</v>
      </c>
      <c r="L51" t="s">
        <v>24</v>
      </c>
      <c r="M51" t="s">
        <v>227</v>
      </c>
      <c r="N51" t="s">
        <v>26</v>
      </c>
      <c r="O51">
        <v>0.55000000000000004</v>
      </c>
      <c r="P51">
        <v>0.79</v>
      </c>
    </row>
    <row r="52" spans="1:16" x14ac:dyDescent="0.25">
      <c r="A52">
        <v>216</v>
      </c>
      <c r="B52" t="s">
        <v>228</v>
      </c>
      <c r="C52" t="s">
        <v>42</v>
      </c>
      <c r="D52" t="s">
        <v>220</v>
      </c>
      <c r="E52" t="s">
        <v>229</v>
      </c>
      <c r="F52" t="s">
        <v>230</v>
      </c>
      <c r="G52" t="s">
        <v>21</v>
      </c>
      <c r="H52" t="s">
        <v>30</v>
      </c>
      <c r="I52" t="s">
        <v>23</v>
      </c>
      <c r="J52" t="s">
        <v>1183</v>
      </c>
      <c r="K52" t="s">
        <v>4</v>
      </c>
      <c r="L52" t="s">
        <v>24</v>
      </c>
      <c r="N52" t="s">
        <v>26</v>
      </c>
      <c r="O52">
        <v>0.55000000000000004</v>
      </c>
      <c r="P52">
        <v>0.79</v>
      </c>
    </row>
    <row r="53" spans="1:16" x14ac:dyDescent="0.25">
      <c r="A53">
        <v>215</v>
      </c>
      <c r="B53" t="s">
        <v>231</v>
      </c>
      <c r="C53" t="s">
        <v>42</v>
      </c>
      <c r="D53" t="s">
        <v>220</v>
      </c>
      <c r="E53" t="s">
        <v>232</v>
      </c>
      <c r="F53" t="s">
        <v>233</v>
      </c>
      <c r="G53" t="s">
        <v>35</v>
      </c>
      <c r="H53" t="s">
        <v>30</v>
      </c>
      <c r="I53" t="s">
        <v>23</v>
      </c>
      <c r="J53">
        <v>30</v>
      </c>
      <c r="K53" t="s">
        <v>4</v>
      </c>
      <c r="L53" t="s">
        <v>24</v>
      </c>
      <c r="M53" t="s">
        <v>114</v>
      </c>
      <c r="N53" t="s">
        <v>26</v>
      </c>
      <c r="O53">
        <v>0.55000000000000004</v>
      </c>
      <c r="P53">
        <v>0.79</v>
      </c>
    </row>
    <row r="54" spans="1:16" x14ac:dyDescent="0.25">
      <c r="A54">
        <v>51</v>
      </c>
      <c r="B54" t="s">
        <v>234</v>
      </c>
      <c r="C54" t="s">
        <v>42</v>
      </c>
      <c r="D54" t="s">
        <v>220</v>
      </c>
      <c r="E54" t="s">
        <v>235</v>
      </c>
      <c r="F54" t="s">
        <v>236</v>
      </c>
      <c r="G54" t="s">
        <v>21</v>
      </c>
      <c r="H54" t="s">
        <v>30</v>
      </c>
      <c r="I54" t="s">
        <v>23</v>
      </c>
      <c r="J54">
        <v>15</v>
      </c>
      <c r="K54" t="s">
        <v>4</v>
      </c>
      <c r="L54" t="s">
        <v>24</v>
      </c>
      <c r="M54" t="s">
        <v>237</v>
      </c>
      <c r="N54" t="s">
        <v>26</v>
      </c>
      <c r="O54">
        <v>0.5</v>
      </c>
      <c r="P54">
        <v>0.79</v>
      </c>
    </row>
    <row r="55" spans="1:16" x14ac:dyDescent="0.25">
      <c r="A55">
        <v>55</v>
      </c>
      <c r="B55" t="s">
        <v>238</v>
      </c>
      <c r="C55" t="s">
        <v>42</v>
      </c>
      <c r="D55" t="s">
        <v>220</v>
      </c>
      <c r="E55" t="s">
        <v>239</v>
      </c>
      <c r="F55" t="s">
        <v>240</v>
      </c>
      <c r="G55" t="s">
        <v>35</v>
      </c>
      <c r="H55" t="s">
        <v>30</v>
      </c>
      <c r="I55" t="s">
        <v>6</v>
      </c>
      <c r="J55">
        <v>20</v>
      </c>
      <c r="K55" t="s">
        <v>4</v>
      </c>
      <c r="L55" t="s">
        <v>24</v>
      </c>
      <c r="M55" t="s">
        <v>241</v>
      </c>
      <c r="N55" t="s">
        <v>26</v>
      </c>
      <c r="O55">
        <v>0.52</v>
      </c>
      <c r="P55">
        <v>0.79</v>
      </c>
    </row>
    <row r="56" spans="1:16" x14ac:dyDescent="0.25">
      <c r="A56">
        <v>57</v>
      </c>
      <c r="B56" t="s">
        <v>242</v>
      </c>
      <c r="C56" t="s">
        <v>42</v>
      </c>
      <c r="D56" t="s">
        <v>220</v>
      </c>
      <c r="E56" t="s">
        <v>243</v>
      </c>
      <c r="F56" t="s">
        <v>244</v>
      </c>
      <c r="G56" t="s">
        <v>21</v>
      </c>
      <c r="H56" t="s">
        <v>30</v>
      </c>
      <c r="I56" t="s">
        <v>23</v>
      </c>
      <c r="J56" t="s">
        <v>1183</v>
      </c>
      <c r="K56" t="s">
        <v>4</v>
      </c>
      <c r="L56" t="s">
        <v>24</v>
      </c>
      <c r="N56" t="s">
        <v>26</v>
      </c>
      <c r="O56">
        <v>0.55000000000000004</v>
      </c>
      <c r="P56">
        <v>0.79</v>
      </c>
    </row>
    <row r="57" spans="1:16" x14ac:dyDescent="0.25">
      <c r="A57">
        <v>48</v>
      </c>
      <c r="B57" t="s">
        <v>245</v>
      </c>
      <c r="C57" t="s">
        <v>42</v>
      </c>
      <c r="D57" t="s">
        <v>220</v>
      </c>
      <c r="E57" t="s">
        <v>246</v>
      </c>
      <c r="F57" t="s">
        <v>247</v>
      </c>
      <c r="G57" t="s">
        <v>35</v>
      </c>
      <c r="H57" t="s">
        <v>30</v>
      </c>
      <c r="I57" t="s">
        <v>6</v>
      </c>
      <c r="J57">
        <v>60</v>
      </c>
      <c r="K57" t="s">
        <v>4</v>
      </c>
      <c r="L57" t="s">
        <v>24</v>
      </c>
      <c r="M57" t="s">
        <v>248</v>
      </c>
      <c r="N57" t="s">
        <v>26</v>
      </c>
      <c r="O57">
        <v>0.63</v>
      </c>
      <c r="P57">
        <v>0.79</v>
      </c>
    </row>
    <row r="58" spans="1:16" x14ac:dyDescent="0.25">
      <c r="A58">
        <v>54</v>
      </c>
      <c r="B58" t="s">
        <v>249</v>
      </c>
      <c r="C58" t="s">
        <v>42</v>
      </c>
      <c r="D58" t="s">
        <v>220</v>
      </c>
      <c r="E58" t="s">
        <v>250</v>
      </c>
      <c r="F58" t="s">
        <v>251</v>
      </c>
      <c r="G58" t="s">
        <v>21</v>
      </c>
      <c r="H58" t="s">
        <v>30</v>
      </c>
      <c r="I58" t="s">
        <v>23</v>
      </c>
      <c r="J58">
        <v>40</v>
      </c>
      <c r="K58" t="s">
        <v>4</v>
      </c>
      <c r="L58" t="s">
        <v>24</v>
      </c>
      <c r="M58" t="s">
        <v>252</v>
      </c>
      <c r="N58" t="s">
        <v>26</v>
      </c>
      <c r="O58">
        <v>0.65</v>
      </c>
      <c r="P58">
        <v>0.79</v>
      </c>
    </row>
    <row r="59" spans="1:16" x14ac:dyDescent="0.25">
      <c r="A59">
        <v>58</v>
      </c>
      <c r="B59" t="s">
        <v>253</v>
      </c>
      <c r="C59" t="s">
        <v>42</v>
      </c>
      <c r="D59" t="s">
        <v>220</v>
      </c>
      <c r="E59" t="s">
        <v>254</v>
      </c>
      <c r="F59" t="s">
        <v>255</v>
      </c>
      <c r="G59" t="s">
        <v>40</v>
      </c>
      <c r="H59" t="s">
        <v>40</v>
      </c>
      <c r="I59" t="s">
        <v>40</v>
      </c>
      <c r="J59" t="s">
        <v>1183</v>
      </c>
      <c r="K59" t="s">
        <v>3</v>
      </c>
      <c r="L59" t="s">
        <v>24</v>
      </c>
      <c r="N59" t="s">
        <v>26</v>
      </c>
    </row>
    <row r="60" spans="1:16" x14ac:dyDescent="0.25">
      <c r="A60">
        <v>222</v>
      </c>
      <c r="B60" t="s">
        <v>256</v>
      </c>
      <c r="C60" t="s">
        <v>42</v>
      </c>
      <c r="D60" t="s">
        <v>220</v>
      </c>
      <c r="E60" t="s">
        <v>257</v>
      </c>
      <c r="F60" t="s">
        <v>255</v>
      </c>
      <c r="G60" t="s">
        <v>40</v>
      </c>
      <c r="H60" t="s">
        <v>40</v>
      </c>
      <c r="I60" t="s">
        <v>40</v>
      </c>
      <c r="J60" t="s">
        <v>1183</v>
      </c>
      <c r="K60" t="s">
        <v>3</v>
      </c>
      <c r="L60" t="s">
        <v>24</v>
      </c>
      <c r="P60">
        <v>0.79</v>
      </c>
    </row>
    <row r="61" spans="1:16" x14ac:dyDescent="0.25">
      <c r="A61">
        <v>94</v>
      </c>
      <c r="B61" t="s">
        <v>258</v>
      </c>
      <c r="C61" t="s">
        <v>42</v>
      </c>
      <c r="D61" t="s">
        <v>220</v>
      </c>
      <c r="E61" t="s">
        <v>259</v>
      </c>
      <c r="F61" t="s">
        <v>260</v>
      </c>
      <c r="G61" t="s">
        <v>21</v>
      </c>
      <c r="H61" t="s">
        <v>30</v>
      </c>
      <c r="I61" t="s">
        <v>23</v>
      </c>
      <c r="J61" t="s">
        <v>1183</v>
      </c>
      <c r="K61" t="s">
        <v>4</v>
      </c>
      <c r="L61" t="s">
        <v>24</v>
      </c>
      <c r="N61" t="s">
        <v>26</v>
      </c>
      <c r="O61">
        <v>0.55000000000000004</v>
      </c>
      <c r="P61">
        <v>0.79</v>
      </c>
    </row>
    <row r="62" spans="1:16" x14ac:dyDescent="0.25">
      <c r="A62">
        <v>50</v>
      </c>
      <c r="B62" t="s">
        <v>261</v>
      </c>
      <c r="C62" t="s">
        <v>42</v>
      </c>
      <c r="D62" t="s">
        <v>220</v>
      </c>
      <c r="E62" t="s">
        <v>262</v>
      </c>
      <c r="F62" t="s">
        <v>263</v>
      </c>
      <c r="G62" t="s">
        <v>35</v>
      </c>
      <c r="H62" t="s">
        <v>30</v>
      </c>
      <c r="I62" t="s">
        <v>6</v>
      </c>
      <c r="J62">
        <v>15</v>
      </c>
      <c r="K62" t="s">
        <v>4</v>
      </c>
      <c r="L62" t="s">
        <v>24</v>
      </c>
      <c r="M62" t="s">
        <v>264</v>
      </c>
      <c r="N62" t="s">
        <v>26</v>
      </c>
      <c r="O62">
        <v>0.6</v>
      </c>
      <c r="P62">
        <v>0.79</v>
      </c>
    </row>
    <row r="63" spans="1:16" x14ac:dyDescent="0.25">
      <c r="A63">
        <v>56</v>
      </c>
      <c r="B63" t="s">
        <v>265</v>
      </c>
      <c r="C63" t="s">
        <v>42</v>
      </c>
      <c r="D63" t="s">
        <v>220</v>
      </c>
      <c r="E63" t="s">
        <v>266</v>
      </c>
      <c r="F63" t="s">
        <v>267</v>
      </c>
      <c r="G63" t="s">
        <v>21</v>
      </c>
      <c r="H63" t="s">
        <v>30</v>
      </c>
      <c r="I63" t="s">
        <v>23</v>
      </c>
      <c r="J63">
        <v>20</v>
      </c>
      <c r="K63" t="s">
        <v>4</v>
      </c>
      <c r="L63" t="s">
        <v>24</v>
      </c>
      <c r="M63" t="s">
        <v>170</v>
      </c>
      <c r="N63" t="s">
        <v>26</v>
      </c>
      <c r="O63">
        <v>0.63</v>
      </c>
      <c r="P63">
        <v>0.79</v>
      </c>
    </row>
    <row r="64" spans="1:16" x14ac:dyDescent="0.25">
      <c r="A64">
        <v>53</v>
      </c>
      <c r="B64" t="s">
        <v>268</v>
      </c>
      <c r="C64" t="s">
        <v>42</v>
      </c>
      <c r="D64" t="s">
        <v>220</v>
      </c>
      <c r="E64" t="s">
        <v>269</v>
      </c>
      <c r="F64" t="s">
        <v>270</v>
      </c>
      <c r="G64" t="s">
        <v>21</v>
      </c>
      <c r="H64" t="s">
        <v>30</v>
      </c>
      <c r="I64" t="s">
        <v>23</v>
      </c>
      <c r="J64" t="s">
        <v>1183</v>
      </c>
      <c r="K64" t="s">
        <v>4</v>
      </c>
      <c r="L64" t="s">
        <v>24</v>
      </c>
      <c r="N64" t="s">
        <v>26</v>
      </c>
      <c r="O64">
        <v>0.55000000000000004</v>
      </c>
      <c r="P64">
        <v>0.79</v>
      </c>
    </row>
    <row r="65" spans="1:16" x14ac:dyDescent="0.25">
      <c r="A65">
        <v>47</v>
      </c>
      <c r="B65" t="s">
        <v>271</v>
      </c>
      <c r="C65" t="s">
        <v>95</v>
      </c>
      <c r="D65" t="s">
        <v>272</v>
      </c>
      <c r="E65" t="s">
        <v>273</v>
      </c>
      <c r="F65" t="s">
        <v>274</v>
      </c>
      <c r="G65" t="s">
        <v>35</v>
      </c>
      <c r="H65" t="s">
        <v>30</v>
      </c>
      <c r="I65" t="s">
        <v>6</v>
      </c>
      <c r="J65">
        <v>100</v>
      </c>
      <c r="K65" t="s">
        <v>4</v>
      </c>
      <c r="L65" t="s">
        <v>24</v>
      </c>
      <c r="M65" t="s">
        <v>54</v>
      </c>
      <c r="N65" t="s">
        <v>26</v>
      </c>
      <c r="O65">
        <v>0.65</v>
      </c>
      <c r="P65">
        <v>0.79</v>
      </c>
    </row>
    <row r="66" spans="1:16" x14ac:dyDescent="0.25">
      <c r="A66">
        <v>49</v>
      </c>
      <c r="B66" t="s">
        <v>275</v>
      </c>
      <c r="C66" t="s">
        <v>95</v>
      </c>
      <c r="D66" t="s">
        <v>272</v>
      </c>
      <c r="E66" t="s">
        <v>276</v>
      </c>
      <c r="F66" t="s">
        <v>277</v>
      </c>
      <c r="G66" t="s">
        <v>21</v>
      </c>
      <c r="H66" t="s">
        <v>30</v>
      </c>
      <c r="I66" t="s">
        <v>23</v>
      </c>
      <c r="J66" t="s">
        <v>1183</v>
      </c>
      <c r="K66" t="s">
        <v>4</v>
      </c>
      <c r="L66" t="s">
        <v>24</v>
      </c>
      <c r="M66" t="s">
        <v>278</v>
      </c>
      <c r="N66" t="s">
        <v>26</v>
      </c>
      <c r="O66">
        <v>0.65</v>
      </c>
      <c r="P66">
        <v>0.79</v>
      </c>
    </row>
    <row r="67" spans="1:16" x14ac:dyDescent="0.25">
      <c r="A67">
        <v>59</v>
      </c>
      <c r="B67" t="s">
        <v>279</v>
      </c>
      <c r="C67" t="s">
        <v>95</v>
      </c>
      <c r="D67" t="s">
        <v>272</v>
      </c>
      <c r="E67" t="s">
        <v>280</v>
      </c>
      <c r="F67" t="s">
        <v>281</v>
      </c>
      <c r="G67" t="s">
        <v>40</v>
      </c>
      <c r="H67" t="s">
        <v>40</v>
      </c>
      <c r="I67" t="s">
        <v>40</v>
      </c>
      <c r="J67" t="s">
        <v>1183</v>
      </c>
      <c r="K67" t="s">
        <v>3</v>
      </c>
      <c r="L67" t="s">
        <v>24</v>
      </c>
      <c r="N67" t="s">
        <v>26</v>
      </c>
      <c r="P67">
        <v>0.79</v>
      </c>
    </row>
    <row r="68" spans="1:16" x14ac:dyDescent="0.25">
      <c r="A68">
        <v>60</v>
      </c>
      <c r="B68" t="s">
        <v>282</v>
      </c>
      <c r="C68" t="s">
        <v>141</v>
      </c>
      <c r="D68" t="s">
        <v>283</v>
      </c>
      <c r="E68" t="s">
        <v>284</v>
      </c>
      <c r="F68" t="s">
        <v>285</v>
      </c>
      <c r="G68" t="s">
        <v>35</v>
      </c>
      <c r="H68" t="s">
        <v>30</v>
      </c>
      <c r="I68" t="s">
        <v>23</v>
      </c>
      <c r="J68">
        <v>50</v>
      </c>
      <c r="K68" t="s">
        <v>4</v>
      </c>
      <c r="L68" t="s">
        <v>24</v>
      </c>
      <c r="M68" t="s">
        <v>286</v>
      </c>
      <c r="N68" t="s">
        <v>26</v>
      </c>
      <c r="O68">
        <v>0.79</v>
      </c>
      <c r="P68">
        <v>0.86</v>
      </c>
    </row>
    <row r="69" spans="1:16" x14ac:dyDescent="0.25">
      <c r="A69">
        <v>41</v>
      </c>
      <c r="B69" t="s">
        <v>287</v>
      </c>
      <c r="C69" t="s">
        <v>288</v>
      </c>
      <c r="D69" t="s">
        <v>289</v>
      </c>
      <c r="E69" t="s">
        <v>290</v>
      </c>
      <c r="F69" t="s">
        <v>291</v>
      </c>
      <c r="G69" t="s">
        <v>21</v>
      </c>
      <c r="H69" t="s">
        <v>30</v>
      </c>
      <c r="I69" t="s">
        <v>23</v>
      </c>
      <c r="J69" t="s">
        <v>1183</v>
      </c>
      <c r="K69" t="s">
        <v>4</v>
      </c>
      <c r="L69" t="s">
        <v>204</v>
      </c>
      <c r="M69" t="s">
        <v>292</v>
      </c>
      <c r="N69" t="s">
        <v>26</v>
      </c>
      <c r="O69">
        <v>0.6</v>
      </c>
      <c r="P69">
        <v>0.79</v>
      </c>
    </row>
    <row r="70" spans="1:16" x14ac:dyDescent="0.25">
      <c r="A70">
        <v>67</v>
      </c>
      <c r="B70" t="s">
        <v>293</v>
      </c>
      <c r="C70" t="s">
        <v>293</v>
      </c>
      <c r="D70" t="s">
        <v>293</v>
      </c>
      <c r="E70" t="s">
        <v>294</v>
      </c>
      <c r="F70" t="s">
        <v>293</v>
      </c>
      <c r="G70" t="s">
        <v>40</v>
      </c>
      <c r="H70" t="s">
        <v>40</v>
      </c>
      <c r="I70" t="s">
        <v>40</v>
      </c>
      <c r="J70" t="s">
        <v>1183</v>
      </c>
      <c r="K70" t="s">
        <v>295</v>
      </c>
    </row>
    <row r="71" spans="1:16" x14ac:dyDescent="0.25">
      <c r="A71">
        <v>69</v>
      </c>
      <c r="B71" t="s">
        <v>296</v>
      </c>
      <c r="C71" t="s">
        <v>297</v>
      </c>
      <c r="D71" t="s">
        <v>298</v>
      </c>
      <c r="E71" t="s">
        <v>299</v>
      </c>
      <c r="F71" t="s">
        <v>300</v>
      </c>
      <c r="G71" t="s">
        <v>35</v>
      </c>
      <c r="H71" t="s">
        <v>30</v>
      </c>
      <c r="I71" t="s">
        <v>6</v>
      </c>
      <c r="J71">
        <v>15</v>
      </c>
      <c r="K71" t="s">
        <v>4</v>
      </c>
      <c r="L71" t="s">
        <v>24</v>
      </c>
      <c r="M71" t="s">
        <v>248</v>
      </c>
      <c r="N71" t="s">
        <v>26</v>
      </c>
      <c r="O71">
        <v>0.7</v>
      </c>
      <c r="P71">
        <v>0.79</v>
      </c>
    </row>
    <row r="72" spans="1:16" x14ac:dyDescent="0.25">
      <c r="A72">
        <v>71</v>
      </c>
      <c r="B72" t="s">
        <v>301</v>
      </c>
      <c r="C72" t="s">
        <v>297</v>
      </c>
      <c r="D72" t="s">
        <v>298</v>
      </c>
      <c r="E72" t="s">
        <v>302</v>
      </c>
      <c r="F72" t="s">
        <v>303</v>
      </c>
      <c r="G72" t="s">
        <v>21</v>
      </c>
      <c r="H72" t="s">
        <v>30</v>
      </c>
      <c r="I72" t="s">
        <v>23</v>
      </c>
      <c r="J72">
        <v>20</v>
      </c>
      <c r="K72" t="s">
        <v>4</v>
      </c>
      <c r="L72" t="s">
        <v>24</v>
      </c>
      <c r="M72" t="s">
        <v>54</v>
      </c>
      <c r="N72" t="s">
        <v>26</v>
      </c>
      <c r="O72">
        <v>0.72</v>
      </c>
      <c r="P72">
        <v>0.79</v>
      </c>
    </row>
    <row r="73" spans="1:16" x14ac:dyDescent="0.25">
      <c r="A73">
        <v>70</v>
      </c>
      <c r="B73" t="s">
        <v>304</v>
      </c>
      <c r="C73" t="s">
        <v>297</v>
      </c>
      <c r="D73" t="s">
        <v>298</v>
      </c>
      <c r="E73" t="s">
        <v>305</v>
      </c>
      <c r="F73" t="s">
        <v>306</v>
      </c>
      <c r="G73" t="s">
        <v>21</v>
      </c>
      <c r="H73" t="s">
        <v>30</v>
      </c>
      <c r="I73" t="s">
        <v>23</v>
      </c>
      <c r="J73" t="s">
        <v>1183</v>
      </c>
      <c r="K73" t="s">
        <v>4</v>
      </c>
      <c r="L73" t="s">
        <v>24</v>
      </c>
      <c r="M73" t="s">
        <v>307</v>
      </c>
      <c r="N73" t="s">
        <v>26</v>
      </c>
      <c r="O73">
        <v>0.7</v>
      </c>
      <c r="P73">
        <v>0.79</v>
      </c>
    </row>
    <row r="74" spans="1:16" x14ac:dyDescent="0.25">
      <c r="A74">
        <v>289</v>
      </c>
      <c r="B74" t="s">
        <v>308</v>
      </c>
      <c r="C74" t="s">
        <v>297</v>
      </c>
      <c r="D74" t="s">
        <v>298</v>
      </c>
      <c r="E74" t="s">
        <v>309</v>
      </c>
      <c r="F74" t="s">
        <v>310</v>
      </c>
      <c r="G74" t="s">
        <v>21</v>
      </c>
      <c r="H74" t="s">
        <v>30</v>
      </c>
      <c r="I74" t="s">
        <v>23</v>
      </c>
      <c r="J74" t="s">
        <v>1183</v>
      </c>
      <c r="K74" t="s">
        <v>4</v>
      </c>
      <c r="L74" t="s">
        <v>24</v>
      </c>
      <c r="N74" t="s">
        <v>26</v>
      </c>
    </row>
    <row r="75" spans="1:16" x14ac:dyDescent="0.25">
      <c r="A75">
        <v>72</v>
      </c>
      <c r="B75" t="s">
        <v>311</v>
      </c>
      <c r="C75" t="s">
        <v>297</v>
      </c>
      <c r="D75" t="s">
        <v>298</v>
      </c>
      <c r="E75" t="s">
        <v>312</v>
      </c>
      <c r="F75" t="s">
        <v>313</v>
      </c>
      <c r="G75" t="s">
        <v>35</v>
      </c>
      <c r="H75" t="s">
        <v>30</v>
      </c>
      <c r="I75" t="s">
        <v>23</v>
      </c>
      <c r="J75" t="s">
        <v>1183</v>
      </c>
      <c r="K75" t="s">
        <v>4</v>
      </c>
      <c r="L75" t="s">
        <v>24</v>
      </c>
      <c r="M75" t="s">
        <v>54</v>
      </c>
      <c r="N75" t="s">
        <v>26</v>
      </c>
      <c r="O75">
        <v>0.7</v>
      </c>
      <c r="P75">
        <v>0.79</v>
      </c>
    </row>
    <row r="76" spans="1:16" x14ac:dyDescent="0.25">
      <c r="A76">
        <v>73</v>
      </c>
      <c r="B76" t="s">
        <v>314</v>
      </c>
      <c r="C76" t="s">
        <v>297</v>
      </c>
      <c r="D76" t="s">
        <v>298</v>
      </c>
      <c r="E76" t="s">
        <v>315</v>
      </c>
      <c r="F76" t="s">
        <v>316</v>
      </c>
      <c r="G76" t="s">
        <v>40</v>
      </c>
      <c r="H76" t="s">
        <v>40</v>
      </c>
      <c r="I76" t="s">
        <v>40</v>
      </c>
      <c r="J76" t="s">
        <v>1183</v>
      </c>
      <c r="K76" t="s">
        <v>3</v>
      </c>
      <c r="L76" t="s">
        <v>24</v>
      </c>
      <c r="N76" t="s">
        <v>26</v>
      </c>
      <c r="P76">
        <v>0.79</v>
      </c>
    </row>
    <row r="77" spans="1:16" x14ac:dyDescent="0.25">
      <c r="A77">
        <v>313</v>
      </c>
      <c r="B77" t="s">
        <v>317</v>
      </c>
      <c r="C77" t="s">
        <v>297</v>
      </c>
      <c r="D77" t="s">
        <v>298</v>
      </c>
      <c r="E77" t="s">
        <v>318</v>
      </c>
      <c r="F77" t="s">
        <v>319</v>
      </c>
      <c r="G77" t="s">
        <v>35</v>
      </c>
      <c r="H77" t="s">
        <v>30</v>
      </c>
      <c r="I77" t="s">
        <v>6</v>
      </c>
      <c r="J77">
        <v>5</v>
      </c>
      <c r="K77" t="s">
        <v>4</v>
      </c>
      <c r="L77" t="s">
        <v>24</v>
      </c>
      <c r="M77" t="s">
        <v>54</v>
      </c>
      <c r="N77" t="s">
        <v>26</v>
      </c>
    </row>
    <row r="78" spans="1:16" x14ac:dyDescent="0.25">
      <c r="A78">
        <v>89</v>
      </c>
      <c r="B78" t="s">
        <v>320</v>
      </c>
      <c r="C78" t="s">
        <v>321</v>
      </c>
      <c r="D78" t="s">
        <v>322</v>
      </c>
      <c r="E78" t="s">
        <v>322</v>
      </c>
      <c r="F78" t="s">
        <v>323</v>
      </c>
      <c r="G78" t="s">
        <v>21</v>
      </c>
      <c r="H78" t="s">
        <v>30</v>
      </c>
      <c r="I78" t="s">
        <v>23</v>
      </c>
      <c r="J78">
        <v>90</v>
      </c>
      <c r="K78" t="s">
        <v>4</v>
      </c>
      <c r="L78" t="s">
        <v>204</v>
      </c>
      <c r="M78" t="s">
        <v>324</v>
      </c>
      <c r="N78" t="s">
        <v>26</v>
      </c>
      <c r="O78">
        <v>0.7</v>
      </c>
      <c r="P78">
        <v>0.79</v>
      </c>
    </row>
    <row r="79" spans="1:16" x14ac:dyDescent="0.25">
      <c r="A79">
        <v>76</v>
      </c>
      <c r="B79" t="s">
        <v>325</v>
      </c>
      <c r="C79" t="s">
        <v>326</v>
      </c>
      <c r="D79" t="s">
        <v>327</v>
      </c>
      <c r="E79" t="s">
        <v>328</v>
      </c>
      <c r="F79" t="s">
        <v>329</v>
      </c>
      <c r="G79" t="s">
        <v>35</v>
      </c>
      <c r="H79" t="s">
        <v>30</v>
      </c>
      <c r="I79" t="s">
        <v>6</v>
      </c>
      <c r="J79">
        <v>100</v>
      </c>
      <c r="K79" t="s">
        <v>4</v>
      </c>
      <c r="L79" t="s">
        <v>24</v>
      </c>
      <c r="M79" t="s">
        <v>99</v>
      </c>
      <c r="N79" t="s">
        <v>26</v>
      </c>
      <c r="O79">
        <v>0.59</v>
      </c>
      <c r="P79">
        <v>0.87</v>
      </c>
    </row>
    <row r="80" spans="1:16" x14ac:dyDescent="0.25">
      <c r="A80">
        <v>80</v>
      </c>
      <c r="B80" t="s">
        <v>330</v>
      </c>
      <c r="C80" t="s">
        <v>326</v>
      </c>
      <c r="D80" t="s">
        <v>327</v>
      </c>
      <c r="E80" t="s">
        <v>331</v>
      </c>
      <c r="F80" t="s">
        <v>332</v>
      </c>
      <c r="G80" t="s">
        <v>21</v>
      </c>
      <c r="H80" t="s">
        <v>30</v>
      </c>
      <c r="I80" t="s">
        <v>23</v>
      </c>
      <c r="J80">
        <v>120</v>
      </c>
      <c r="K80" t="s">
        <v>4</v>
      </c>
      <c r="L80" t="s">
        <v>24</v>
      </c>
      <c r="M80" t="s">
        <v>333</v>
      </c>
      <c r="N80" t="s">
        <v>26</v>
      </c>
      <c r="O80">
        <v>0.55000000000000004</v>
      </c>
      <c r="P80">
        <v>0.86</v>
      </c>
    </row>
    <row r="81" spans="1:16" x14ac:dyDescent="0.25">
      <c r="A81">
        <v>82</v>
      </c>
      <c r="B81" t="s">
        <v>334</v>
      </c>
      <c r="C81" t="s">
        <v>326</v>
      </c>
      <c r="D81" t="s">
        <v>327</v>
      </c>
      <c r="E81" t="s">
        <v>335</v>
      </c>
      <c r="F81" t="s">
        <v>336</v>
      </c>
      <c r="G81" t="s">
        <v>21</v>
      </c>
      <c r="H81" t="s">
        <v>30</v>
      </c>
      <c r="I81" t="s">
        <v>23</v>
      </c>
      <c r="J81">
        <v>75</v>
      </c>
      <c r="K81" t="s">
        <v>4</v>
      </c>
      <c r="L81" t="s">
        <v>24</v>
      </c>
      <c r="M81" t="s">
        <v>227</v>
      </c>
      <c r="N81" t="s">
        <v>26</v>
      </c>
      <c r="O81">
        <v>0.55000000000000004</v>
      </c>
      <c r="P81">
        <v>0.86</v>
      </c>
    </row>
    <row r="82" spans="1:16" x14ac:dyDescent="0.25">
      <c r="A82">
        <v>314</v>
      </c>
      <c r="B82" t="s">
        <v>337</v>
      </c>
      <c r="C82" t="s">
        <v>326</v>
      </c>
      <c r="D82" t="s">
        <v>327</v>
      </c>
      <c r="E82" t="s">
        <v>338</v>
      </c>
      <c r="F82" t="s">
        <v>339</v>
      </c>
      <c r="G82" t="s">
        <v>21</v>
      </c>
      <c r="H82" t="s">
        <v>30</v>
      </c>
      <c r="I82" t="s">
        <v>23</v>
      </c>
      <c r="J82" t="s">
        <v>1183</v>
      </c>
      <c r="K82" t="s">
        <v>4</v>
      </c>
      <c r="L82" t="s">
        <v>24</v>
      </c>
      <c r="M82" t="s">
        <v>340</v>
      </c>
      <c r="N82" t="s">
        <v>26</v>
      </c>
      <c r="O82">
        <v>0.35</v>
      </c>
    </row>
    <row r="83" spans="1:16" x14ac:dyDescent="0.25">
      <c r="A83">
        <v>79</v>
      </c>
      <c r="B83" t="s">
        <v>341</v>
      </c>
      <c r="C83" t="s">
        <v>326</v>
      </c>
      <c r="D83" t="s">
        <v>327</v>
      </c>
      <c r="E83" t="s">
        <v>342</v>
      </c>
      <c r="F83" t="s">
        <v>343</v>
      </c>
      <c r="G83" t="s">
        <v>21</v>
      </c>
      <c r="H83" t="s">
        <v>30</v>
      </c>
      <c r="I83" t="s">
        <v>23</v>
      </c>
      <c r="J83">
        <v>90</v>
      </c>
      <c r="K83" t="s">
        <v>4</v>
      </c>
      <c r="L83" t="s">
        <v>24</v>
      </c>
      <c r="M83" t="s">
        <v>344</v>
      </c>
      <c r="N83" t="s">
        <v>26</v>
      </c>
      <c r="O83">
        <v>0.55000000000000004</v>
      </c>
      <c r="P83">
        <v>0.86</v>
      </c>
    </row>
    <row r="84" spans="1:16" x14ac:dyDescent="0.25">
      <c r="A84">
        <v>83</v>
      </c>
      <c r="B84" t="s">
        <v>345</v>
      </c>
      <c r="C84" t="s">
        <v>326</v>
      </c>
      <c r="D84" t="s">
        <v>327</v>
      </c>
      <c r="E84" t="s">
        <v>346</v>
      </c>
      <c r="F84" t="s">
        <v>347</v>
      </c>
      <c r="G84" t="s">
        <v>21</v>
      </c>
      <c r="H84" t="s">
        <v>30</v>
      </c>
      <c r="I84" t="s">
        <v>23</v>
      </c>
      <c r="J84">
        <v>70</v>
      </c>
      <c r="K84" t="s">
        <v>4</v>
      </c>
      <c r="L84" t="s">
        <v>24</v>
      </c>
      <c r="M84" t="s">
        <v>348</v>
      </c>
      <c r="N84" t="s">
        <v>26</v>
      </c>
      <c r="O84">
        <v>0.39</v>
      </c>
      <c r="P84">
        <v>0.85</v>
      </c>
    </row>
    <row r="85" spans="1:16" x14ac:dyDescent="0.25">
      <c r="A85">
        <v>84</v>
      </c>
      <c r="B85" t="s">
        <v>349</v>
      </c>
      <c r="C85" t="s">
        <v>326</v>
      </c>
      <c r="D85" t="s">
        <v>327</v>
      </c>
      <c r="E85" t="s">
        <v>350</v>
      </c>
      <c r="F85" t="s">
        <v>351</v>
      </c>
      <c r="G85" t="s">
        <v>35</v>
      </c>
      <c r="H85" t="s">
        <v>30</v>
      </c>
      <c r="I85" t="s">
        <v>23</v>
      </c>
      <c r="J85">
        <v>60</v>
      </c>
      <c r="K85" t="s">
        <v>4</v>
      </c>
      <c r="L85" t="s">
        <v>24</v>
      </c>
      <c r="M85" t="s">
        <v>352</v>
      </c>
      <c r="N85" t="s">
        <v>26</v>
      </c>
      <c r="O85">
        <v>0.6</v>
      </c>
      <c r="P85">
        <v>0.86</v>
      </c>
    </row>
    <row r="86" spans="1:16" x14ac:dyDescent="0.25">
      <c r="A86">
        <v>85</v>
      </c>
      <c r="B86" t="s">
        <v>353</v>
      </c>
      <c r="C86" t="s">
        <v>326</v>
      </c>
      <c r="D86" t="s">
        <v>327</v>
      </c>
      <c r="E86" t="s">
        <v>354</v>
      </c>
      <c r="F86" t="s">
        <v>355</v>
      </c>
      <c r="G86" t="s">
        <v>40</v>
      </c>
      <c r="H86" t="s">
        <v>40</v>
      </c>
      <c r="I86" t="s">
        <v>40</v>
      </c>
      <c r="J86" t="s">
        <v>1183</v>
      </c>
      <c r="K86" t="s">
        <v>3</v>
      </c>
      <c r="L86" t="s">
        <v>24</v>
      </c>
      <c r="N86" t="s">
        <v>26</v>
      </c>
      <c r="P86">
        <v>0.86</v>
      </c>
    </row>
    <row r="87" spans="1:16" x14ac:dyDescent="0.25">
      <c r="A87">
        <v>81</v>
      </c>
      <c r="B87" t="s">
        <v>356</v>
      </c>
      <c r="C87" t="s">
        <v>326</v>
      </c>
      <c r="D87" t="s">
        <v>327</v>
      </c>
      <c r="E87" t="s">
        <v>357</v>
      </c>
      <c r="F87" t="s">
        <v>358</v>
      </c>
      <c r="G87" t="s">
        <v>35</v>
      </c>
      <c r="H87" t="s">
        <v>30</v>
      </c>
      <c r="I87" t="s">
        <v>6</v>
      </c>
      <c r="J87">
        <v>75</v>
      </c>
      <c r="K87" t="s">
        <v>4</v>
      </c>
      <c r="L87" t="s">
        <v>24</v>
      </c>
      <c r="M87" t="s">
        <v>359</v>
      </c>
      <c r="N87" t="s">
        <v>26</v>
      </c>
      <c r="O87">
        <v>0.55000000000000004</v>
      </c>
      <c r="P87">
        <v>0.86</v>
      </c>
    </row>
    <row r="88" spans="1:16" x14ac:dyDescent="0.25">
      <c r="A88">
        <v>78</v>
      </c>
      <c r="B88" t="s">
        <v>360</v>
      </c>
      <c r="C88" t="s">
        <v>326</v>
      </c>
      <c r="D88" t="s">
        <v>327</v>
      </c>
      <c r="E88" t="s">
        <v>361</v>
      </c>
      <c r="F88" t="s">
        <v>362</v>
      </c>
      <c r="G88" t="s">
        <v>21</v>
      </c>
      <c r="H88" t="s">
        <v>30</v>
      </c>
      <c r="I88" t="s">
        <v>23</v>
      </c>
      <c r="J88">
        <v>150</v>
      </c>
      <c r="K88" t="s">
        <v>4</v>
      </c>
      <c r="L88" t="s">
        <v>24</v>
      </c>
      <c r="N88" t="s">
        <v>26</v>
      </c>
      <c r="O88">
        <v>0.55000000000000004</v>
      </c>
      <c r="P88">
        <v>0.86</v>
      </c>
    </row>
    <row r="89" spans="1:16" x14ac:dyDescent="0.25">
      <c r="A89">
        <v>77</v>
      </c>
      <c r="B89" t="s">
        <v>363</v>
      </c>
      <c r="C89" t="s">
        <v>326</v>
      </c>
      <c r="D89" t="s">
        <v>327</v>
      </c>
      <c r="E89" t="s">
        <v>364</v>
      </c>
      <c r="F89" t="s">
        <v>365</v>
      </c>
      <c r="G89" t="s">
        <v>21</v>
      </c>
      <c r="H89" t="s">
        <v>30</v>
      </c>
      <c r="I89" t="s">
        <v>23</v>
      </c>
      <c r="J89" t="s">
        <v>1183</v>
      </c>
      <c r="K89" t="s">
        <v>4</v>
      </c>
      <c r="L89" t="s">
        <v>24</v>
      </c>
      <c r="N89" t="s">
        <v>26</v>
      </c>
      <c r="O89">
        <v>0.55000000000000004</v>
      </c>
      <c r="P89">
        <v>0.86</v>
      </c>
    </row>
    <row r="90" spans="1:16" x14ac:dyDescent="0.25">
      <c r="A90">
        <v>46</v>
      </c>
      <c r="B90" t="s">
        <v>366</v>
      </c>
      <c r="C90" t="s">
        <v>200</v>
      </c>
      <c r="D90" t="s">
        <v>367</v>
      </c>
      <c r="E90" t="s">
        <v>368</v>
      </c>
      <c r="F90" t="s">
        <v>369</v>
      </c>
      <c r="G90" t="s">
        <v>21</v>
      </c>
      <c r="H90" t="s">
        <v>30</v>
      </c>
      <c r="I90" t="s">
        <v>23</v>
      </c>
      <c r="J90">
        <v>75</v>
      </c>
      <c r="K90" t="s">
        <v>4</v>
      </c>
      <c r="L90" t="s">
        <v>204</v>
      </c>
      <c r="M90" t="s">
        <v>212</v>
      </c>
      <c r="N90" t="s">
        <v>26</v>
      </c>
      <c r="O90">
        <v>0.76</v>
      </c>
      <c r="P90">
        <v>0.79</v>
      </c>
    </row>
    <row r="91" spans="1:16" x14ac:dyDescent="0.25">
      <c r="A91">
        <v>88</v>
      </c>
      <c r="B91" t="s">
        <v>370</v>
      </c>
      <c r="C91" t="s">
        <v>321</v>
      </c>
      <c r="D91" t="s">
        <v>371</v>
      </c>
      <c r="E91" t="s">
        <v>372</v>
      </c>
      <c r="F91" t="s">
        <v>373</v>
      </c>
      <c r="G91" t="s">
        <v>35</v>
      </c>
      <c r="H91" t="s">
        <v>30</v>
      </c>
      <c r="I91" t="s">
        <v>6</v>
      </c>
      <c r="J91">
        <v>50</v>
      </c>
      <c r="K91" t="s">
        <v>4</v>
      </c>
      <c r="L91" t="s">
        <v>204</v>
      </c>
      <c r="M91" t="s">
        <v>374</v>
      </c>
      <c r="N91" t="s">
        <v>26</v>
      </c>
      <c r="O91">
        <v>0.48</v>
      </c>
      <c r="P91">
        <v>0.79</v>
      </c>
    </row>
    <row r="92" spans="1:16" x14ac:dyDescent="0.25">
      <c r="A92">
        <v>93</v>
      </c>
      <c r="B92" t="s">
        <v>375</v>
      </c>
      <c r="C92" t="s">
        <v>321</v>
      </c>
      <c r="D92" t="s">
        <v>371</v>
      </c>
      <c r="E92" t="s">
        <v>376</v>
      </c>
      <c r="F92" t="s">
        <v>377</v>
      </c>
      <c r="G92" t="s">
        <v>21</v>
      </c>
      <c r="H92" t="s">
        <v>30</v>
      </c>
      <c r="I92" t="s">
        <v>23</v>
      </c>
      <c r="J92">
        <v>40</v>
      </c>
      <c r="K92" t="s">
        <v>4</v>
      </c>
      <c r="L92" t="s">
        <v>204</v>
      </c>
      <c r="M92" t="s">
        <v>378</v>
      </c>
      <c r="N92" t="s">
        <v>26</v>
      </c>
      <c r="O92">
        <v>0.76</v>
      </c>
      <c r="P92">
        <v>0.79</v>
      </c>
    </row>
    <row r="93" spans="1:16" x14ac:dyDescent="0.25">
      <c r="A93">
        <v>90</v>
      </c>
      <c r="B93" t="s">
        <v>379</v>
      </c>
      <c r="C93" t="s">
        <v>321</v>
      </c>
      <c r="D93" t="s">
        <v>371</v>
      </c>
      <c r="E93" t="s">
        <v>380</v>
      </c>
      <c r="F93" t="s">
        <v>381</v>
      </c>
      <c r="G93" t="s">
        <v>21</v>
      </c>
      <c r="H93" t="s">
        <v>30</v>
      </c>
      <c r="I93" t="s">
        <v>23</v>
      </c>
      <c r="J93" t="s">
        <v>1183</v>
      </c>
      <c r="K93" t="s">
        <v>4</v>
      </c>
      <c r="L93" t="s">
        <v>204</v>
      </c>
      <c r="M93" t="s">
        <v>382</v>
      </c>
      <c r="N93" t="s">
        <v>26</v>
      </c>
      <c r="O93">
        <v>0.7</v>
      </c>
      <c r="P93">
        <v>0.79</v>
      </c>
    </row>
    <row r="94" spans="1:16" x14ac:dyDescent="0.25">
      <c r="A94">
        <v>91</v>
      </c>
      <c r="B94" t="s">
        <v>383</v>
      </c>
      <c r="C94" t="s">
        <v>321</v>
      </c>
      <c r="D94" t="s">
        <v>371</v>
      </c>
      <c r="E94" t="s">
        <v>384</v>
      </c>
      <c r="F94" t="s">
        <v>385</v>
      </c>
      <c r="G94" t="s">
        <v>21</v>
      </c>
      <c r="H94" t="s">
        <v>30</v>
      </c>
      <c r="I94" t="s">
        <v>23</v>
      </c>
      <c r="J94">
        <v>90</v>
      </c>
      <c r="K94" t="s">
        <v>4</v>
      </c>
      <c r="L94" t="s">
        <v>204</v>
      </c>
      <c r="M94" t="s">
        <v>386</v>
      </c>
      <c r="N94" t="s">
        <v>26</v>
      </c>
      <c r="O94">
        <v>0.65</v>
      </c>
      <c r="P94">
        <v>0.79</v>
      </c>
    </row>
    <row r="95" spans="1:16" x14ac:dyDescent="0.25">
      <c r="A95">
        <v>92</v>
      </c>
      <c r="B95" t="s">
        <v>387</v>
      </c>
      <c r="C95" t="s">
        <v>321</v>
      </c>
      <c r="D95" t="s">
        <v>371</v>
      </c>
      <c r="E95" t="s">
        <v>388</v>
      </c>
      <c r="F95" t="s">
        <v>389</v>
      </c>
      <c r="G95" t="s">
        <v>40</v>
      </c>
      <c r="H95" t="s">
        <v>40</v>
      </c>
      <c r="I95" t="s">
        <v>40</v>
      </c>
      <c r="J95" t="s">
        <v>1183</v>
      </c>
      <c r="K95" t="s">
        <v>3</v>
      </c>
      <c r="L95" t="s">
        <v>204</v>
      </c>
      <c r="N95" t="s">
        <v>26</v>
      </c>
      <c r="P95">
        <v>0.79</v>
      </c>
    </row>
    <row r="96" spans="1:16" x14ac:dyDescent="0.25">
      <c r="A96">
        <v>95</v>
      </c>
      <c r="B96" t="s">
        <v>390</v>
      </c>
      <c r="C96" t="s">
        <v>390</v>
      </c>
      <c r="D96" t="s">
        <v>390</v>
      </c>
      <c r="E96" t="s">
        <v>390</v>
      </c>
      <c r="F96" t="s">
        <v>390</v>
      </c>
      <c r="G96" t="s">
        <v>40</v>
      </c>
      <c r="H96" t="s">
        <v>40</v>
      </c>
      <c r="I96" t="s">
        <v>40</v>
      </c>
      <c r="J96" t="s">
        <v>1183</v>
      </c>
      <c r="K96" t="s">
        <v>295</v>
      </c>
    </row>
    <row r="97" spans="1:16" x14ac:dyDescent="0.25">
      <c r="A97">
        <v>96</v>
      </c>
      <c r="B97" t="s">
        <v>391</v>
      </c>
      <c r="C97" t="s">
        <v>392</v>
      </c>
      <c r="D97" t="s">
        <v>393</v>
      </c>
      <c r="E97" t="s">
        <v>393</v>
      </c>
      <c r="F97" t="s">
        <v>394</v>
      </c>
      <c r="G97" t="s">
        <v>21</v>
      </c>
      <c r="H97" t="s">
        <v>30</v>
      </c>
      <c r="I97" t="s">
        <v>23</v>
      </c>
      <c r="J97">
        <v>80</v>
      </c>
      <c r="K97" t="s">
        <v>4</v>
      </c>
      <c r="L97" t="s">
        <v>24</v>
      </c>
      <c r="M97" t="s">
        <v>191</v>
      </c>
      <c r="N97" t="s">
        <v>26</v>
      </c>
      <c r="O97">
        <v>0.65</v>
      </c>
      <c r="P97">
        <v>0.81</v>
      </c>
    </row>
    <row r="98" spans="1:16" x14ac:dyDescent="0.25">
      <c r="A98">
        <v>223</v>
      </c>
      <c r="B98" t="s">
        <v>395</v>
      </c>
      <c r="C98" t="s">
        <v>396</v>
      </c>
      <c r="D98" t="s">
        <v>397</v>
      </c>
      <c r="E98" t="s">
        <v>397</v>
      </c>
      <c r="F98" t="s">
        <v>398</v>
      </c>
      <c r="G98" t="s">
        <v>21</v>
      </c>
      <c r="H98" t="s">
        <v>30</v>
      </c>
      <c r="I98" t="s">
        <v>23</v>
      </c>
      <c r="J98" t="s">
        <v>1183</v>
      </c>
      <c r="K98" t="s">
        <v>4</v>
      </c>
      <c r="L98" t="s">
        <v>24</v>
      </c>
      <c r="M98" t="s">
        <v>399</v>
      </c>
      <c r="N98" t="s">
        <v>26</v>
      </c>
      <c r="O98">
        <v>0.6</v>
      </c>
      <c r="P98">
        <v>0.81</v>
      </c>
    </row>
    <row r="99" spans="1:16" x14ac:dyDescent="0.25">
      <c r="A99">
        <v>98</v>
      </c>
      <c r="B99" t="s">
        <v>400</v>
      </c>
      <c r="C99" t="s">
        <v>401</v>
      </c>
      <c r="D99" t="s">
        <v>402</v>
      </c>
      <c r="E99" t="s">
        <v>403</v>
      </c>
      <c r="F99" t="s">
        <v>404</v>
      </c>
      <c r="G99" t="s">
        <v>35</v>
      </c>
      <c r="H99" t="s">
        <v>30</v>
      </c>
      <c r="I99" t="s">
        <v>23</v>
      </c>
      <c r="J99" t="s">
        <v>1183</v>
      </c>
      <c r="K99" t="s">
        <v>4</v>
      </c>
      <c r="L99" t="s">
        <v>24</v>
      </c>
      <c r="M99" t="s">
        <v>405</v>
      </c>
      <c r="N99" t="s">
        <v>26</v>
      </c>
      <c r="O99">
        <v>0.7</v>
      </c>
      <c r="P99">
        <v>0.79</v>
      </c>
    </row>
    <row r="100" spans="1:16" x14ac:dyDescent="0.25">
      <c r="A100">
        <v>99</v>
      </c>
      <c r="B100" t="s">
        <v>406</v>
      </c>
      <c r="C100" t="s">
        <v>326</v>
      </c>
      <c r="D100" t="s">
        <v>407</v>
      </c>
      <c r="E100" t="s">
        <v>407</v>
      </c>
      <c r="F100" t="s">
        <v>408</v>
      </c>
      <c r="G100" t="s">
        <v>35</v>
      </c>
      <c r="H100" t="s">
        <v>30</v>
      </c>
      <c r="I100" t="s">
        <v>6</v>
      </c>
      <c r="J100">
        <v>50</v>
      </c>
      <c r="K100" t="s">
        <v>4</v>
      </c>
      <c r="L100" t="s">
        <v>24</v>
      </c>
      <c r="M100" t="s">
        <v>409</v>
      </c>
      <c r="N100" t="s">
        <v>26</v>
      </c>
      <c r="O100">
        <v>0.66</v>
      </c>
      <c r="P100">
        <v>0.88</v>
      </c>
    </row>
    <row r="101" spans="1:16" x14ac:dyDescent="0.25">
      <c r="A101">
        <v>103</v>
      </c>
      <c r="B101" t="s">
        <v>410</v>
      </c>
      <c r="C101" t="s">
        <v>42</v>
      </c>
      <c r="D101" t="s">
        <v>411</v>
      </c>
      <c r="E101" t="s">
        <v>412</v>
      </c>
      <c r="F101" t="s">
        <v>413</v>
      </c>
      <c r="G101" t="s">
        <v>21</v>
      </c>
      <c r="H101" t="s">
        <v>30</v>
      </c>
      <c r="I101" t="s">
        <v>23</v>
      </c>
      <c r="J101" t="s">
        <v>1183</v>
      </c>
      <c r="K101" t="s">
        <v>4</v>
      </c>
      <c r="L101" t="s">
        <v>24</v>
      </c>
      <c r="N101" t="s">
        <v>26</v>
      </c>
      <c r="O101">
        <v>0.6</v>
      </c>
      <c r="P101">
        <v>0.89</v>
      </c>
    </row>
    <row r="102" spans="1:16" x14ac:dyDescent="0.25">
      <c r="A102">
        <v>290</v>
      </c>
      <c r="B102" t="s">
        <v>414</v>
      </c>
      <c r="C102" t="s">
        <v>42</v>
      </c>
      <c r="D102" t="s">
        <v>411</v>
      </c>
      <c r="E102" t="s">
        <v>415</v>
      </c>
      <c r="F102" t="s">
        <v>416</v>
      </c>
      <c r="G102" t="s">
        <v>21</v>
      </c>
      <c r="H102" t="s">
        <v>30</v>
      </c>
      <c r="I102" t="s">
        <v>23</v>
      </c>
      <c r="J102" t="s">
        <v>1183</v>
      </c>
      <c r="K102" t="s">
        <v>4</v>
      </c>
      <c r="L102" t="s">
        <v>24</v>
      </c>
      <c r="N102" t="s">
        <v>26</v>
      </c>
    </row>
    <row r="103" spans="1:16" x14ac:dyDescent="0.25">
      <c r="A103">
        <v>100</v>
      </c>
      <c r="B103" t="s">
        <v>417</v>
      </c>
      <c r="C103" t="s">
        <v>42</v>
      </c>
      <c r="D103" t="s">
        <v>411</v>
      </c>
      <c r="E103" t="s">
        <v>418</v>
      </c>
      <c r="F103" t="s">
        <v>419</v>
      </c>
      <c r="G103" t="s">
        <v>35</v>
      </c>
      <c r="H103" t="s">
        <v>22</v>
      </c>
      <c r="I103" t="s">
        <v>23</v>
      </c>
      <c r="J103" t="s">
        <v>1183</v>
      </c>
      <c r="K103" t="s">
        <v>4</v>
      </c>
      <c r="L103" t="s">
        <v>24</v>
      </c>
      <c r="M103" t="s">
        <v>420</v>
      </c>
      <c r="N103" t="s">
        <v>26</v>
      </c>
      <c r="O103">
        <v>0.6</v>
      </c>
      <c r="P103">
        <v>0.88</v>
      </c>
    </row>
    <row r="104" spans="1:16" x14ac:dyDescent="0.25">
      <c r="A104">
        <v>101</v>
      </c>
      <c r="B104" t="s">
        <v>421</v>
      </c>
      <c r="C104" t="s">
        <v>42</v>
      </c>
      <c r="D104" t="s">
        <v>411</v>
      </c>
      <c r="E104" t="s">
        <v>422</v>
      </c>
      <c r="F104" t="s">
        <v>423</v>
      </c>
      <c r="G104" t="s">
        <v>21</v>
      </c>
      <c r="H104" t="s">
        <v>30</v>
      </c>
      <c r="I104" t="s">
        <v>23</v>
      </c>
      <c r="J104" t="s">
        <v>1183</v>
      </c>
      <c r="K104" t="s">
        <v>4</v>
      </c>
      <c r="L104" t="s">
        <v>24</v>
      </c>
      <c r="M104" t="s">
        <v>424</v>
      </c>
      <c r="N104" t="s">
        <v>26</v>
      </c>
      <c r="O104">
        <v>0.6</v>
      </c>
      <c r="P104">
        <v>0.88</v>
      </c>
    </row>
    <row r="105" spans="1:16" x14ac:dyDescent="0.25">
      <c r="A105">
        <v>104</v>
      </c>
      <c r="B105" t="s">
        <v>425</v>
      </c>
      <c r="C105" t="s">
        <v>42</v>
      </c>
      <c r="D105" t="s">
        <v>411</v>
      </c>
      <c r="E105" t="s">
        <v>426</v>
      </c>
      <c r="F105" t="s">
        <v>427</v>
      </c>
      <c r="G105" t="s">
        <v>21</v>
      </c>
      <c r="H105" t="s">
        <v>30</v>
      </c>
      <c r="I105" t="s">
        <v>23</v>
      </c>
      <c r="J105" t="s">
        <v>1183</v>
      </c>
      <c r="K105" t="s">
        <v>4</v>
      </c>
      <c r="L105" t="s">
        <v>24</v>
      </c>
      <c r="M105" t="s">
        <v>65</v>
      </c>
      <c r="N105" t="s">
        <v>26</v>
      </c>
      <c r="O105">
        <v>0.6</v>
      </c>
      <c r="P105">
        <v>0.88</v>
      </c>
    </row>
    <row r="106" spans="1:16" x14ac:dyDescent="0.25">
      <c r="A106">
        <v>102</v>
      </c>
      <c r="B106" t="s">
        <v>428</v>
      </c>
      <c r="C106" t="s">
        <v>42</v>
      </c>
      <c r="D106" t="s">
        <v>411</v>
      </c>
      <c r="E106" t="s">
        <v>429</v>
      </c>
      <c r="F106" t="s">
        <v>430</v>
      </c>
      <c r="G106" t="s">
        <v>21</v>
      </c>
      <c r="H106" t="s">
        <v>30</v>
      </c>
      <c r="I106" t="s">
        <v>23</v>
      </c>
      <c r="J106">
        <v>30</v>
      </c>
      <c r="K106" t="s">
        <v>4</v>
      </c>
      <c r="L106" t="s">
        <v>24</v>
      </c>
      <c r="M106" t="s">
        <v>65</v>
      </c>
      <c r="N106" t="s">
        <v>26</v>
      </c>
      <c r="O106">
        <v>0.6</v>
      </c>
      <c r="P106">
        <v>0.86</v>
      </c>
    </row>
    <row r="107" spans="1:16" x14ac:dyDescent="0.25">
      <c r="A107">
        <v>105</v>
      </c>
      <c r="B107" t="s">
        <v>431</v>
      </c>
      <c r="C107" t="s">
        <v>42</v>
      </c>
      <c r="D107" t="s">
        <v>411</v>
      </c>
      <c r="E107" t="s">
        <v>432</v>
      </c>
      <c r="F107" t="s">
        <v>433</v>
      </c>
      <c r="G107" t="s">
        <v>40</v>
      </c>
      <c r="H107" t="s">
        <v>40</v>
      </c>
      <c r="I107" t="s">
        <v>40</v>
      </c>
      <c r="J107" t="s">
        <v>1183</v>
      </c>
      <c r="K107" t="s">
        <v>3</v>
      </c>
      <c r="L107" t="s">
        <v>24</v>
      </c>
      <c r="N107" t="s">
        <v>26</v>
      </c>
      <c r="P107">
        <v>0.88</v>
      </c>
    </row>
    <row r="108" spans="1:16" x14ac:dyDescent="0.25">
      <c r="A108">
        <v>106</v>
      </c>
      <c r="B108" t="s">
        <v>434</v>
      </c>
      <c r="C108" t="s">
        <v>17</v>
      </c>
      <c r="D108" t="s">
        <v>435</v>
      </c>
      <c r="E108" t="s">
        <v>436</v>
      </c>
      <c r="F108" t="s">
        <v>437</v>
      </c>
      <c r="G108" t="s">
        <v>35</v>
      </c>
      <c r="H108" t="s">
        <v>30</v>
      </c>
      <c r="I108" t="s">
        <v>23</v>
      </c>
      <c r="J108">
        <v>30</v>
      </c>
      <c r="K108" t="s">
        <v>4</v>
      </c>
      <c r="L108" t="s">
        <v>24</v>
      </c>
      <c r="M108" t="s">
        <v>438</v>
      </c>
      <c r="N108" t="s">
        <v>26</v>
      </c>
      <c r="O108">
        <v>0.8</v>
      </c>
      <c r="P108">
        <v>0.79</v>
      </c>
    </row>
    <row r="109" spans="1:16" x14ac:dyDescent="0.25">
      <c r="A109">
        <v>107</v>
      </c>
      <c r="B109" t="s">
        <v>439</v>
      </c>
      <c r="C109" t="s">
        <v>17</v>
      </c>
      <c r="D109" t="s">
        <v>435</v>
      </c>
      <c r="E109" t="s">
        <v>440</v>
      </c>
      <c r="F109" t="s">
        <v>441</v>
      </c>
      <c r="G109" t="s">
        <v>21</v>
      </c>
      <c r="H109" t="s">
        <v>30</v>
      </c>
      <c r="I109" t="s">
        <v>23</v>
      </c>
      <c r="J109">
        <v>30</v>
      </c>
      <c r="K109" t="s">
        <v>4</v>
      </c>
      <c r="L109" t="s">
        <v>24</v>
      </c>
      <c r="M109" t="s">
        <v>442</v>
      </c>
      <c r="N109" t="s">
        <v>26</v>
      </c>
      <c r="O109">
        <v>0.75</v>
      </c>
      <c r="P109">
        <v>0.79</v>
      </c>
    </row>
    <row r="110" spans="1:16" x14ac:dyDescent="0.25">
      <c r="A110">
        <v>109</v>
      </c>
      <c r="B110" t="s">
        <v>443</v>
      </c>
      <c r="C110" t="s">
        <v>443</v>
      </c>
      <c r="D110" t="s">
        <v>443</v>
      </c>
      <c r="E110" t="s">
        <v>443</v>
      </c>
      <c r="F110" t="s">
        <v>443</v>
      </c>
      <c r="G110" t="s">
        <v>40</v>
      </c>
      <c r="H110" t="s">
        <v>40</v>
      </c>
      <c r="I110" t="s">
        <v>40</v>
      </c>
      <c r="K110" t="s">
        <v>295</v>
      </c>
    </row>
    <row r="111" spans="1:16" x14ac:dyDescent="0.25">
      <c r="A111">
        <v>110</v>
      </c>
      <c r="B111" t="s">
        <v>444</v>
      </c>
      <c r="C111" t="s">
        <v>321</v>
      </c>
      <c r="D111" t="s">
        <v>445</v>
      </c>
      <c r="E111" t="s">
        <v>446</v>
      </c>
      <c r="F111" t="s">
        <v>447</v>
      </c>
      <c r="G111" t="s">
        <v>35</v>
      </c>
      <c r="H111" t="s">
        <v>30</v>
      </c>
      <c r="I111" t="s">
        <v>6</v>
      </c>
      <c r="J111">
        <v>100</v>
      </c>
      <c r="K111" t="s">
        <v>4</v>
      </c>
      <c r="L111" t="s">
        <v>204</v>
      </c>
      <c r="M111" t="s">
        <v>448</v>
      </c>
      <c r="N111" t="s">
        <v>26</v>
      </c>
      <c r="O111">
        <v>0.69</v>
      </c>
      <c r="P111">
        <v>0.79</v>
      </c>
    </row>
    <row r="112" spans="1:16" x14ac:dyDescent="0.25">
      <c r="A112">
        <v>111</v>
      </c>
      <c r="B112" t="s">
        <v>449</v>
      </c>
      <c r="C112" t="s">
        <v>450</v>
      </c>
      <c r="D112" t="s">
        <v>451</v>
      </c>
      <c r="E112" t="s">
        <v>452</v>
      </c>
      <c r="F112" t="s">
        <v>453</v>
      </c>
      <c r="G112" t="s">
        <v>35</v>
      </c>
      <c r="H112" t="s">
        <v>30</v>
      </c>
      <c r="I112" t="s">
        <v>6</v>
      </c>
      <c r="J112">
        <v>50</v>
      </c>
      <c r="K112" t="s">
        <v>4</v>
      </c>
      <c r="L112" t="s">
        <v>24</v>
      </c>
      <c r="M112" t="s">
        <v>454</v>
      </c>
      <c r="N112" t="s">
        <v>26</v>
      </c>
      <c r="O112">
        <v>0.75</v>
      </c>
      <c r="P112">
        <v>0.77</v>
      </c>
    </row>
    <row r="113" spans="1:16" x14ac:dyDescent="0.25">
      <c r="A113">
        <v>112</v>
      </c>
      <c r="B113" t="s">
        <v>455</v>
      </c>
      <c r="C113" t="s">
        <v>450</v>
      </c>
      <c r="D113" t="s">
        <v>451</v>
      </c>
      <c r="E113" t="s">
        <v>456</v>
      </c>
      <c r="F113" t="s">
        <v>457</v>
      </c>
      <c r="G113" t="s">
        <v>35</v>
      </c>
      <c r="H113" t="s">
        <v>30</v>
      </c>
      <c r="I113" t="s">
        <v>23</v>
      </c>
      <c r="J113">
        <v>50</v>
      </c>
      <c r="K113" t="s">
        <v>4</v>
      </c>
      <c r="L113" t="s">
        <v>24</v>
      </c>
      <c r="M113" t="s">
        <v>458</v>
      </c>
      <c r="N113" t="s">
        <v>26</v>
      </c>
      <c r="O113">
        <v>0.75</v>
      </c>
      <c r="P113">
        <v>0.77</v>
      </c>
    </row>
    <row r="114" spans="1:16" x14ac:dyDescent="0.25">
      <c r="A114">
        <v>114</v>
      </c>
      <c r="B114" t="s">
        <v>459</v>
      </c>
      <c r="C114" t="s">
        <v>450</v>
      </c>
      <c r="D114" t="s">
        <v>451</v>
      </c>
      <c r="E114" t="s">
        <v>460</v>
      </c>
      <c r="F114" t="s">
        <v>461</v>
      </c>
      <c r="G114" t="s">
        <v>35</v>
      </c>
      <c r="H114" t="s">
        <v>30</v>
      </c>
      <c r="I114" t="s">
        <v>23</v>
      </c>
      <c r="J114">
        <v>90</v>
      </c>
      <c r="K114" t="s">
        <v>4</v>
      </c>
      <c r="L114" t="s">
        <v>24</v>
      </c>
      <c r="M114" t="s">
        <v>462</v>
      </c>
      <c r="N114" t="s">
        <v>26</v>
      </c>
      <c r="O114">
        <v>0.75</v>
      </c>
      <c r="P114">
        <v>0.77</v>
      </c>
    </row>
    <row r="115" spans="1:16" x14ac:dyDescent="0.25">
      <c r="A115">
        <v>113</v>
      </c>
      <c r="B115" t="s">
        <v>463</v>
      </c>
      <c r="C115" t="s">
        <v>450</v>
      </c>
      <c r="D115" t="s">
        <v>451</v>
      </c>
      <c r="E115" t="s">
        <v>464</v>
      </c>
      <c r="F115" t="s">
        <v>465</v>
      </c>
      <c r="G115" t="s">
        <v>35</v>
      </c>
      <c r="H115" t="s">
        <v>30</v>
      </c>
      <c r="I115" t="s">
        <v>6</v>
      </c>
      <c r="J115">
        <v>60</v>
      </c>
      <c r="K115" t="s">
        <v>4</v>
      </c>
      <c r="L115" t="s">
        <v>24</v>
      </c>
      <c r="M115" t="s">
        <v>466</v>
      </c>
      <c r="N115" t="s">
        <v>26</v>
      </c>
      <c r="O115">
        <v>0.75</v>
      </c>
      <c r="P115">
        <v>0.77</v>
      </c>
    </row>
    <row r="116" spans="1:16" x14ac:dyDescent="0.25">
      <c r="A116">
        <v>115</v>
      </c>
      <c r="B116" t="s">
        <v>467</v>
      </c>
      <c r="C116" t="s">
        <v>450</v>
      </c>
      <c r="D116" t="s">
        <v>451</v>
      </c>
      <c r="E116" t="s">
        <v>468</v>
      </c>
      <c r="F116" t="s">
        <v>469</v>
      </c>
      <c r="G116" t="s">
        <v>40</v>
      </c>
      <c r="H116" t="s">
        <v>40</v>
      </c>
      <c r="I116" t="s">
        <v>40</v>
      </c>
      <c r="J116" t="s">
        <v>1183</v>
      </c>
      <c r="K116" t="s">
        <v>3</v>
      </c>
      <c r="L116" t="s">
        <v>24</v>
      </c>
      <c r="N116" t="s">
        <v>26</v>
      </c>
      <c r="P116">
        <v>0.77</v>
      </c>
    </row>
    <row r="117" spans="1:16" x14ac:dyDescent="0.25">
      <c r="A117">
        <v>116</v>
      </c>
      <c r="B117" t="s">
        <v>470</v>
      </c>
      <c r="C117" t="s">
        <v>471</v>
      </c>
      <c r="D117" t="s">
        <v>470</v>
      </c>
      <c r="E117" t="s">
        <v>470</v>
      </c>
      <c r="F117" t="s">
        <v>472</v>
      </c>
      <c r="G117" t="s">
        <v>40</v>
      </c>
      <c r="H117" t="s">
        <v>30</v>
      </c>
      <c r="I117" t="s">
        <v>23</v>
      </c>
      <c r="J117" t="s">
        <v>1183</v>
      </c>
      <c r="K117" t="s">
        <v>4</v>
      </c>
      <c r="N117" t="s">
        <v>26</v>
      </c>
    </row>
    <row r="118" spans="1:16" x14ac:dyDescent="0.25">
      <c r="A118">
        <v>143</v>
      </c>
      <c r="B118" t="s">
        <v>473</v>
      </c>
      <c r="C118" t="s">
        <v>141</v>
      </c>
      <c r="D118" t="s">
        <v>474</v>
      </c>
      <c r="E118" t="s">
        <v>474</v>
      </c>
      <c r="F118" t="s">
        <v>475</v>
      </c>
      <c r="G118" t="s">
        <v>21</v>
      </c>
      <c r="H118" t="s">
        <v>30</v>
      </c>
      <c r="I118" t="s">
        <v>23</v>
      </c>
      <c r="J118">
        <v>80</v>
      </c>
      <c r="K118" t="s">
        <v>4</v>
      </c>
      <c r="L118" t="s">
        <v>24</v>
      </c>
      <c r="M118" t="s">
        <v>286</v>
      </c>
      <c r="N118" t="s">
        <v>26</v>
      </c>
      <c r="O118">
        <v>0.66</v>
      </c>
      <c r="P118">
        <v>0.67</v>
      </c>
    </row>
    <row r="119" spans="1:16" x14ac:dyDescent="0.25">
      <c r="A119">
        <v>300</v>
      </c>
      <c r="B119" t="s">
        <v>476</v>
      </c>
      <c r="C119" t="s">
        <v>477</v>
      </c>
      <c r="D119" t="s">
        <v>478</v>
      </c>
      <c r="E119" t="s">
        <v>479</v>
      </c>
      <c r="F119" t="s">
        <v>480</v>
      </c>
      <c r="G119" t="s">
        <v>35</v>
      </c>
      <c r="H119" t="s">
        <v>30</v>
      </c>
      <c r="I119" t="s">
        <v>23</v>
      </c>
      <c r="J119" t="s">
        <v>1183</v>
      </c>
      <c r="K119" t="s">
        <v>4</v>
      </c>
      <c r="L119" t="s">
        <v>24</v>
      </c>
      <c r="N119" t="s">
        <v>26</v>
      </c>
    </row>
    <row r="120" spans="1:16" x14ac:dyDescent="0.25">
      <c r="A120">
        <v>118</v>
      </c>
      <c r="B120" t="s">
        <v>481</v>
      </c>
      <c r="C120" t="s">
        <v>482</v>
      </c>
      <c r="D120" t="s">
        <v>483</v>
      </c>
      <c r="E120" t="s">
        <v>484</v>
      </c>
      <c r="F120" t="s">
        <v>485</v>
      </c>
      <c r="G120" t="s">
        <v>35</v>
      </c>
      <c r="H120" t="s">
        <v>30</v>
      </c>
      <c r="I120" t="s">
        <v>23</v>
      </c>
      <c r="J120" t="s">
        <v>1183</v>
      </c>
      <c r="K120" t="s">
        <v>4</v>
      </c>
      <c r="L120" t="s">
        <v>24</v>
      </c>
      <c r="M120" t="s">
        <v>486</v>
      </c>
      <c r="N120" t="s">
        <v>26</v>
      </c>
      <c r="O120">
        <v>0.6</v>
      </c>
      <c r="P120">
        <v>0.79</v>
      </c>
    </row>
    <row r="121" spans="1:16" x14ac:dyDescent="0.25">
      <c r="A121">
        <v>124</v>
      </c>
      <c r="B121" t="s">
        <v>487</v>
      </c>
      <c r="C121" t="s">
        <v>17</v>
      </c>
      <c r="D121" t="s">
        <v>488</v>
      </c>
      <c r="E121" t="s">
        <v>488</v>
      </c>
      <c r="F121" t="s">
        <v>489</v>
      </c>
      <c r="G121" t="s">
        <v>35</v>
      </c>
      <c r="H121" t="s">
        <v>30</v>
      </c>
      <c r="I121" t="s">
        <v>6</v>
      </c>
      <c r="J121">
        <v>30</v>
      </c>
      <c r="K121" t="s">
        <v>4</v>
      </c>
      <c r="L121" t="s">
        <v>24</v>
      </c>
      <c r="M121" t="s">
        <v>248</v>
      </c>
      <c r="N121" t="s">
        <v>26</v>
      </c>
      <c r="O121">
        <v>0.62</v>
      </c>
      <c r="P121">
        <v>0.79</v>
      </c>
    </row>
    <row r="122" spans="1:16" x14ac:dyDescent="0.25">
      <c r="A122">
        <v>120</v>
      </c>
      <c r="B122" t="s">
        <v>490</v>
      </c>
      <c r="C122" t="s">
        <v>17</v>
      </c>
      <c r="D122" t="s">
        <v>491</v>
      </c>
      <c r="E122" t="s">
        <v>492</v>
      </c>
      <c r="F122" t="s">
        <v>493</v>
      </c>
      <c r="G122" t="s">
        <v>21</v>
      </c>
      <c r="H122" t="s">
        <v>30</v>
      </c>
      <c r="I122" t="s">
        <v>23</v>
      </c>
      <c r="J122">
        <v>50</v>
      </c>
      <c r="K122" t="s">
        <v>4</v>
      </c>
      <c r="L122" t="s">
        <v>24</v>
      </c>
      <c r="M122" t="s">
        <v>494</v>
      </c>
      <c r="N122" t="s">
        <v>26</v>
      </c>
      <c r="O122">
        <v>0.7</v>
      </c>
      <c r="P122">
        <v>0.79</v>
      </c>
    </row>
    <row r="123" spans="1:16" x14ac:dyDescent="0.25">
      <c r="A123">
        <v>20</v>
      </c>
      <c r="B123" t="s">
        <v>495</v>
      </c>
      <c r="C123" t="s">
        <v>17</v>
      </c>
      <c r="D123" t="s">
        <v>491</v>
      </c>
      <c r="E123" t="s">
        <v>496</v>
      </c>
      <c r="F123" t="s">
        <v>497</v>
      </c>
      <c r="G123" t="s">
        <v>35</v>
      </c>
      <c r="H123" t="s">
        <v>30</v>
      </c>
      <c r="I123" t="s">
        <v>6</v>
      </c>
      <c r="J123">
        <v>15</v>
      </c>
      <c r="K123" t="s">
        <v>4</v>
      </c>
      <c r="L123" t="s">
        <v>24</v>
      </c>
      <c r="M123" t="s">
        <v>118</v>
      </c>
      <c r="N123" t="s">
        <v>26</v>
      </c>
      <c r="O123">
        <v>0.7</v>
      </c>
      <c r="P123">
        <v>0.79</v>
      </c>
    </row>
    <row r="124" spans="1:16" x14ac:dyDescent="0.25">
      <c r="A124">
        <v>122</v>
      </c>
      <c r="B124" t="s">
        <v>498</v>
      </c>
      <c r="C124" t="s">
        <v>17</v>
      </c>
      <c r="D124" t="s">
        <v>491</v>
      </c>
      <c r="E124" t="s">
        <v>499</v>
      </c>
      <c r="F124" t="s">
        <v>500</v>
      </c>
      <c r="G124" t="s">
        <v>40</v>
      </c>
      <c r="H124" t="s">
        <v>40</v>
      </c>
      <c r="I124" t="s">
        <v>40</v>
      </c>
      <c r="J124" t="s">
        <v>1183</v>
      </c>
      <c r="K124" t="s">
        <v>3</v>
      </c>
      <c r="L124" t="s">
        <v>24</v>
      </c>
      <c r="N124" t="s">
        <v>26</v>
      </c>
    </row>
    <row r="125" spans="1:16" x14ac:dyDescent="0.25">
      <c r="A125">
        <v>127</v>
      </c>
      <c r="B125" t="s">
        <v>501</v>
      </c>
      <c r="C125" t="s">
        <v>200</v>
      </c>
      <c r="D125" t="s">
        <v>502</v>
      </c>
      <c r="E125" t="s">
        <v>503</v>
      </c>
      <c r="F125" t="s">
        <v>504</v>
      </c>
      <c r="G125" t="s">
        <v>40</v>
      </c>
      <c r="H125" t="s">
        <v>40</v>
      </c>
      <c r="I125" t="s">
        <v>40</v>
      </c>
      <c r="J125" t="s">
        <v>1183</v>
      </c>
      <c r="K125" t="s">
        <v>3</v>
      </c>
      <c r="L125" t="s">
        <v>204</v>
      </c>
      <c r="P125">
        <v>0.79</v>
      </c>
    </row>
    <row r="126" spans="1:16" x14ac:dyDescent="0.25">
      <c r="A126">
        <v>125</v>
      </c>
      <c r="B126" t="s">
        <v>505</v>
      </c>
      <c r="C126" t="s">
        <v>200</v>
      </c>
      <c r="D126" t="s">
        <v>502</v>
      </c>
      <c r="E126" t="s">
        <v>506</v>
      </c>
      <c r="F126" t="s">
        <v>507</v>
      </c>
      <c r="G126" t="s">
        <v>21</v>
      </c>
      <c r="H126" t="s">
        <v>30</v>
      </c>
      <c r="I126" t="s">
        <v>23</v>
      </c>
      <c r="J126" t="s">
        <v>1183</v>
      </c>
      <c r="K126" t="s">
        <v>4</v>
      </c>
      <c r="L126" t="s">
        <v>204</v>
      </c>
      <c r="M126" t="s">
        <v>191</v>
      </c>
      <c r="N126" t="s">
        <v>26</v>
      </c>
      <c r="O126">
        <v>0.6</v>
      </c>
      <c r="P126">
        <v>0.79</v>
      </c>
    </row>
    <row r="127" spans="1:16" x14ac:dyDescent="0.25">
      <c r="A127">
        <v>301</v>
      </c>
      <c r="B127" t="s">
        <v>508</v>
      </c>
      <c r="C127" t="s">
        <v>200</v>
      </c>
      <c r="D127" t="s">
        <v>502</v>
      </c>
      <c r="E127" t="s">
        <v>509</v>
      </c>
      <c r="F127" t="s">
        <v>510</v>
      </c>
      <c r="G127" t="s">
        <v>21</v>
      </c>
      <c r="H127" t="s">
        <v>30</v>
      </c>
      <c r="I127" t="s">
        <v>23</v>
      </c>
      <c r="J127" t="s">
        <v>1183</v>
      </c>
      <c r="K127" t="s">
        <v>4</v>
      </c>
      <c r="L127" t="s">
        <v>204</v>
      </c>
      <c r="N127" t="s">
        <v>26</v>
      </c>
    </row>
    <row r="128" spans="1:16" x14ac:dyDescent="0.25">
      <c r="A128">
        <v>302</v>
      </c>
      <c r="B128" t="s">
        <v>511</v>
      </c>
      <c r="C128" t="s">
        <v>200</v>
      </c>
      <c r="D128" t="s">
        <v>502</v>
      </c>
      <c r="E128" t="s">
        <v>512</v>
      </c>
      <c r="F128" t="s">
        <v>513</v>
      </c>
      <c r="G128" t="s">
        <v>21</v>
      </c>
      <c r="H128" t="s">
        <v>30</v>
      </c>
      <c r="I128" t="s">
        <v>23</v>
      </c>
      <c r="J128" t="s">
        <v>1183</v>
      </c>
      <c r="K128" t="s">
        <v>4</v>
      </c>
      <c r="L128" t="s">
        <v>204</v>
      </c>
      <c r="N128" t="s">
        <v>26</v>
      </c>
    </row>
    <row r="129" spans="1:16" x14ac:dyDescent="0.25">
      <c r="A129">
        <v>126</v>
      </c>
      <c r="B129" t="s">
        <v>514</v>
      </c>
      <c r="C129" t="s">
        <v>200</v>
      </c>
      <c r="D129" t="s">
        <v>502</v>
      </c>
      <c r="E129" t="s">
        <v>515</v>
      </c>
      <c r="F129" t="s">
        <v>516</v>
      </c>
      <c r="G129" t="s">
        <v>21</v>
      </c>
      <c r="H129" t="s">
        <v>30</v>
      </c>
      <c r="I129" t="s">
        <v>23</v>
      </c>
      <c r="J129" t="s">
        <v>1183</v>
      </c>
      <c r="K129" t="s">
        <v>4</v>
      </c>
      <c r="L129" t="s">
        <v>204</v>
      </c>
      <c r="N129" t="s">
        <v>26</v>
      </c>
      <c r="O129">
        <v>0.6</v>
      </c>
      <c r="P129">
        <v>0.79</v>
      </c>
    </row>
    <row r="130" spans="1:16" x14ac:dyDescent="0.25">
      <c r="A130">
        <v>43</v>
      </c>
      <c r="B130" t="s">
        <v>517</v>
      </c>
      <c r="C130" t="s">
        <v>200</v>
      </c>
      <c r="D130" t="s">
        <v>502</v>
      </c>
      <c r="E130" t="s">
        <v>518</v>
      </c>
      <c r="F130" t="s">
        <v>519</v>
      </c>
      <c r="G130" t="s">
        <v>35</v>
      </c>
      <c r="H130" t="s">
        <v>30</v>
      </c>
      <c r="I130" t="s">
        <v>6</v>
      </c>
      <c r="J130">
        <v>60</v>
      </c>
      <c r="K130" t="s">
        <v>4</v>
      </c>
      <c r="L130" t="s">
        <v>204</v>
      </c>
      <c r="M130" t="s">
        <v>520</v>
      </c>
      <c r="N130" t="s">
        <v>26</v>
      </c>
      <c r="O130">
        <v>0.6</v>
      </c>
      <c r="P130">
        <v>0.79</v>
      </c>
    </row>
    <row r="131" spans="1:16" x14ac:dyDescent="0.25">
      <c r="A131">
        <v>128</v>
      </c>
      <c r="B131" t="s">
        <v>521</v>
      </c>
      <c r="C131" t="s">
        <v>522</v>
      </c>
      <c r="D131" t="s">
        <v>523</v>
      </c>
      <c r="E131" t="s">
        <v>523</v>
      </c>
      <c r="F131" t="s">
        <v>524</v>
      </c>
      <c r="G131" t="s">
        <v>21</v>
      </c>
      <c r="H131" t="s">
        <v>30</v>
      </c>
      <c r="I131" t="s">
        <v>23</v>
      </c>
      <c r="J131" t="s">
        <v>1183</v>
      </c>
      <c r="K131" t="s">
        <v>4</v>
      </c>
      <c r="L131" t="s">
        <v>24</v>
      </c>
      <c r="M131" t="s">
        <v>525</v>
      </c>
      <c r="N131" t="s">
        <v>26</v>
      </c>
      <c r="O131">
        <v>0.7</v>
      </c>
      <c r="P131">
        <v>0.79</v>
      </c>
    </row>
    <row r="132" spans="1:16" x14ac:dyDescent="0.25">
      <c r="A132">
        <v>129</v>
      </c>
      <c r="B132" t="s">
        <v>526</v>
      </c>
      <c r="C132" t="s">
        <v>527</v>
      </c>
      <c r="D132" t="s">
        <v>528</v>
      </c>
      <c r="E132" t="s">
        <v>529</v>
      </c>
      <c r="F132" t="s">
        <v>530</v>
      </c>
      <c r="G132" t="s">
        <v>21</v>
      </c>
      <c r="H132" t="s">
        <v>30</v>
      </c>
      <c r="I132" t="s">
        <v>23</v>
      </c>
      <c r="J132" t="s">
        <v>1183</v>
      </c>
      <c r="K132" t="s">
        <v>4</v>
      </c>
      <c r="L132" t="s">
        <v>24</v>
      </c>
      <c r="M132" t="s">
        <v>252</v>
      </c>
      <c r="N132" t="s">
        <v>26</v>
      </c>
      <c r="O132">
        <v>0.73</v>
      </c>
      <c r="P132">
        <v>0.79</v>
      </c>
    </row>
    <row r="133" spans="1:16" x14ac:dyDescent="0.25">
      <c r="A133">
        <v>97</v>
      </c>
      <c r="B133" t="s">
        <v>531</v>
      </c>
      <c r="C133" t="s">
        <v>141</v>
      </c>
      <c r="D133" t="s">
        <v>532</v>
      </c>
      <c r="E133" t="s">
        <v>533</v>
      </c>
      <c r="F133" t="s">
        <v>534</v>
      </c>
      <c r="G133" t="s">
        <v>21</v>
      </c>
      <c r="H133" t="s">
        <v>30</v>
      </c>
      <c r="I133" t="s">
        <v>23</v>
      </c>
      <c r="J133" t="s">
        <v>1183</v>
      </c>
      <c r="K133" t="s">
        <v>4</v>
      </c>
      <c r="L133" t="s">
        <v>24</v>
      </c>
      <c r="N133" t="s">
        <v>26</v>
      </c>
      <c r="O133">
        <v>0.65</v>
      </c>
      <c r="P133">
        <v>0.79</v>
      </c>
    </row>
    <row r="134" spans="1:16" x14ac:dyDescent="0.25">
      <c r="A134">
        <v>130</v>
      </c>
      <c r="B134" t="s">
        <v>535</v>
      </c>
      <c r="C134" t="s">
        <v>321</v>
      </c>
      <c r="D134" t="s">
        <v>536</v>
      </c>
      <c r="E134" t="s">
        <v>537</v>
      </c>
      <c r="F134" t="s">
        <v>538</v>
      </c>
      <c r="G134" t="s">
        <v>21</v>
      </c>
      <c r="H134" t="s">
        <v>30</v>
      </c>
      <c r="I134" t="s">
        <v>23</v>
      </c>
      <c r="J134">
        <v>80</v>
      </c>
      <c r="K134" t="s">
        <v>4</v>
      </c>
      <c r="L134" t="s">
        <v>24</v>
      </c>
      <c r="M134" t="s">
        <v>65</v>
      </c>
      <c r="N134" t="s">
        <v>26</v>
      </c>
      <c r="O134">
        <v>0.7</v>
      </c>
      <c r="P134">
        <v>0.79</v>
      </c>
    </row>
    <row r="135" spans="1:16" x14ac:dyDescent="0.25">
      <c r="A135">
        <v>250</v>
      </c>
      <c r="B135" t="s">
        <v>539</v>
      </c>
      <c r="C135" t="s">
        <v>321</v>
      </c>
      <c r="D135" t="s">
        <v>536</v>
      </c>
      <c r="E135" t="s">
        <v>540</v>
      </c>
      <c r="F135" t="s">
        <v>541</v>
      </c>
      <c r="G135" t="s">
        <v>35</v>
      </c>
      <c r="H135" t="s">
        <v>30</v>
      </c>
      <c r="I135" t="s">
        <v>6</v>
      </c>
      <c r="J135">
        <v>40</v>
      </c>
      <c r="K135" t="s">
        <v>4</v>
      </c>
      <c r="L135" t="s">
        <v>24</v>
      </c>
      <c r="M135" t="s">
        <v>542</v>
      </c>
      <c r="N135" t="s">
        <v>26</v>
      </c>
      <c r="O135">
        <v>0.7</v>
      </c>
      <c r="P135">
        <v>0.79</v>
      </c>
    </row>
    <row r="136" spans="1:16" x14ac:dyDescent="0.25">
      <c r="A136">
        <v>131</v>
      </c>
      <c r="B136" t="s">
        <v>543</v>
      </c>
      <c r="C136" t="s">
        <v>321</v>
      </c>
      <c r="D136" t="s">
        <v>536</v>
      </c>
      <c r="E136" t="s">
        <v>544</v>
      </c>
      <c r="F136" t="s">
        <v>545</v>
      </c>
      <c r="G136" t="s">
        <v>21</v>
      </c>
      <c r="H136" t="s">
        <v>30</v>
      </c>
      <c r="I136" t="s">
        <v>23</v>
      </c>
      <c r="J136" t="s">
        <v>1183</v>
      </c>
      <c r="K136" t="s">
        <v>4</v>
      </c>
      <c r="L136" t="s">
        <v>24</v>
      </c>
      <c r="N136" t="s">
        <v>26</v>
      </c>
      <c r="O136">
        <v>0.7</v>
      </c>
      <c r="P136">
        <v>0.79</v>
      </c>
    </row>
    <row r="137" spans="1:16" x14ac:dyDescent="0.25">
      <c r="A137">
        <v>132</v>
      </c>
      <c r="B137" t="s">
        <v>546</v>
      </c>
      <c r="C137" t="s">
        <v>321</v>
      </c>
      <c r="D137" t="s">
        <v>536</v>
      </c>
      <c r="E137" t="s">
        <v>547</v>
      </c>
      <c r="F137" t="s">
        <v>548</v>
      </c>
      <c r="G137" t="s">
        <v>40</v>
      </c>
      <c r="H137" t="s">
        <v>40</v>
      </c>
      <c r="I137" t="s">
        <v>40</v>
      </c>
      <c r="J137" t="s">
        <v>1183</v>
      </c>
      <c r="K137" t="s">
        <v>3</v>
      </c>
      <c r="L137" t="s">
        <v>24</v>
      </c>
      <c r="P137">
        <v>0.79</v>
      </c>
    </row>
    <row r="138" spans="1:16" x14ac:dyDescent="0.25">
      <c r="A138">
        <v>134</v>
      </c>
      <c r="B138" t="s">
        <v>549</v>
      </c>
      <c r="C138" t="s">
        <v>67</v>
      </c>
      <c r="D138" t="s">
        <v>550</v>
      </c>
      <c r="E138" t="s">
        <v>551</v>
      </c>
      <c r="F138" t="s">
        <v>552</v>
      </c>
      <c r="G138" t="s">
        <v>21</v>
      </c>
      <c r="H138" t="s">
        <v>30</v>
      </c>
      <c r="I138" t="s">
        <v>23</v>
      </c>
      <c r="J138">
        <v>20</v>
      </c>
      <c r="K138" t="s">
        <v>4</v>
      </c>
      <c r="L138" t="s">
        <v>24</v>
      </c>
      <c r="M138" t="s">
        <v>292</v>
      </c>
      <c r="N138" t="s">
        <v>26</v>
      </c>
      <c r="O138">
        <v>0.81</v>
      </c>
      <c r="P138">
        <v>0.79</v>
      </c>
    </row>
    <row r="139" spans="1:16" x14ac:dyDescent="0.25">
      <c r="A139">
        <v>135</v>
      </c>
      <c r="B139" t="s">
        <v>553</v>
      </c>
      <c r="C139" t="s">
        <v>67</v>
      </c>
      <c r="D139" t="s">
        <v>550</v>
      </c>
      <c r="E139" t="s">
        <v>554</v>
      </c>
      <c r="F139" t="s">
        <v>555</v>
      </c>
      <c r="G139" t="s">
        <v>40</v>
      </c>
      <c r="H139" t="s">
        <v>40</v>
      </c>
      <c r="I139" t="s">
        <v>40</v>
      </c>
      <c r="J139" t="s">
        <v>1183</v>
      </c>
      <c r="K139" t="s">
        <v>3</v>
      </c>
      <c r="L139" t="s">
        <v>24</v>
      </c>
      <c r="P139">
        <v>0.79</v>
      </c>
    </row>
    <row r="140" spans="1:16" x14ac:dyDescent="0.25">
      <c r="A140">
        <v>133</v>
      </c>
      <c r="B140" t="s">
        <v>556</v>
      </c>
      <c r="C140" t="s">
        <v>67</v>
      </c>
      <c r="D140" t="s">
        <v>550</v>
      </c>
      <c r="E140" t="s">
        <v>557</v>
      </c>
      <c r="F140" t="s">
        <v>558</v>
      </c>
      <c r="G140" t="s">
        <v>21</v>
      </c>
      <c r="H140" t="s">
        <v>30</v>
      </c>
      <c r="I140" t="s">
        <v>23</v>
      </c>
      <c r="J140">
        <v>10</v>
      </c>
      <c r="K140" t="s">
        <v>4</v>
      </c>
      <c r="L140" t="s">
        <v>24</v>
      </c>
      <c r="M140" t="s">
        <v>559</v>
      </c>
      <c r="N140" t="s">
        <v>26</v>
      </c>
      <c r="O140">
        <v>0.8</v>
      </c>
      <c r="P140">
        <v>0.79</v>
      </c>
    </row>
    <row r="141" spans="1:16" x14ac:dyDescent="0.25">
      <c r="A141">
        <v>18</v>
      </c>
      <c r="B141" t="s">
        <v>560</v>
      </c>
      <c r="C141" t="s">
        <v>561</v>
      </c>
      <c r="D141" t="s">
        <v>562</v>
      </c>
      <c r="E141" t="s">
        <v>563</v>
      </c>
      <c r="F141" t="s">
        <v>564</v>
      </c>
      <c r="G141" t="s">
        <v>35</v>
      </c>
      <c r="H141" t="s">
        <v>30</v>
      </c>
      <c r="I141" t="s">
        <v>6</v>
      </c>
      <c r="J141">
        <v>60</v>
      </c>
      <c r="K141" t="s">
        <v>4</v>
      </c>
      <c r="L141" t="s">
        <v>24</v>
      </c>
      <c r="M141" t="s">
        <v>99</v>
      </c>
      <c r="N141" t="s">
        <v>26</v>
      </c>
      <c r="O141">
        <v>0.63</v>
      </c>
      <c r="P141">
        <v>0.88</v>
      </c>
    </row>
    <row r="142" spans="1:16" x14ac:dyDescent="0.25">
      <c r="A142">
        <v>139</v>
      </c>
      <c r="B142" t="s">
        <v>565</v>
      </c>
      <c r="C142" t="s">
        <v>561</v>
      </c>
      <c r="D142" t="s">
        <v>562</v>
      </c>
      <c r="E142" t="s">
        <v>566</v>
      </c>
      <c r="F142" t="s">
        <v>567</v>
      </c>
      <c r="G142" t="s">
        <v>21</v>
      </c>
      <c r="H142" t="s">
        <v>30</v>
      </c>
      <c r="I142" t="s">
        <v>23</v>
      </c>
      <c r="J142">
        <v>60</v>
      </c>
      <c r="K142" t="s">
        <v>4</v>
      </c>
      <c r="L142" t="s">
        <v>24</v>
      </c>
      <c r="M142" t="s">
        <v>65</v>
      </c>
      <c r="N142" t="s">
        <v>26</v>
      </c>
      <c r="O142">
        <v>0.7</v>
      </c>
      <c r="P142">
        <v>0.88</v>
      </c>
    </row>
    <row r="143" spans="1:16" x14ac:dyDescent="0.25">
      <c r="A143">
        <v>136</v>
      </c>
      <c r="B143" t="s">
        <v>568</v>
      </c>
      <c r="C143" t="s">
        <v>561</v>
      </c>
      <c r="D143" t="s">
        <v>562</v>
      </c>
      <c r="E143" t="s">
        <v>569</v>
      </c>
      <c r="F143" t="s">
        <v>570</v>
      </c>
      <c r="G143" t="s">
        <v>21</v>
      </c>
      <c r="H143" t="s">
        <v>30</v>
      </c>
      <c r="I143" t="s">
        <v>23</v>
      </c>
      <c r="J143" t="s">
        <v>1183</v>
      </c>
      <c r="K143" t="s">
        <v>4</v>
      </c>
      <c r="L143" t="s">
        <v>24</v>
      </c>
      <c r="M143" t="s">
        <v>65</v>
      </c>
      <c r="N143" t="s">
        <v>26</v>
      </c>
      <c r="O143">
        <v>0.6</v>
      </c>
      <c r="P143">
        <v>0.88</v>
      </c>
    </row>
    <row r="144" spans="1:16" x14ac:dyDescent="0.25">
      <c r="A144">
        <v>141</v>
      </c>
      <c r="B144" t="s">
        <v>571</v>
      </c>
      <c r="C144" t="s">
        <v>561</v>
      </c>
      <c r="D144" t="s">
        <v>562</v>
      </c>
      <c r="E144" t="s">
        <v>572</v>
      </c>
      <c r="F144" t="s">
        <v>573</v>
      </c>
      <c r="G144" t="s">
        <v>40</v>
      </c>
      <c r="H144" t="s">
        <v>40</v>
      </c>
      <c r="I144" t="s">
        <v>40</v>
      </c>
      <c r="J144" t="s">
        <v>1183</v>
      </c>
      <c r="K144" t="s">
        <v>3</v>
      </c>
      <c r="L144" t="s">
        <v>24</v>
      </c>
      <c r="P144">
        <v>0.88</v>
      </c>
    </row>
    <row r="145" spans="1:16" x14ac:dyDescent="0.25">
      <c r="A145">
        <v>140</v>
      </c>
      <c r="B145" t="s">
        <v>574</v>
      </c>
      <c r="C145" t="s">
        <v>561</v>
      </c>
      <c r="D145" t="s">
        <v>562</v>
      </c>
      <c r="E145" t="s">
        <v>575</v>
      </c>
      <c r="F145" t="s">
        <v>576</v>
      </c>
      <c r="G145" t="s">
        <v>21</v>
      </c>
      <c r="H145" t="s">
        <v>30</v>
      </c>
      <c r="I145" t="s">
        <v>23</v>
      </c>
      <c r="J145" t="s">
        <v>1183</v>
      </c>
      <c r="K145" t="s">
        <v>4</v>
      </c>
      <c r="L145" t="s">
        <v>24</v>
      </c>
      <c r="M145" t="s">
        <v>577</v>
      </c>
      <c r="N145" t="s">
        <v>26</v>
      </c>
      <c r="O145">
        <v>0.6</v>
      </c>
      <c r="P145">
        <v>0.88</v>
      </c>
    </row>
    <row r="146" spans="1:16" x14ac:dyDescent="0.25">
      <c r="A146">
        <v>137</v>
      </c>
      <c r="B146" t="s">
        <v>578</v>
      </c>
      <c r="C146" t="s">
        <v>561</v>
      </c>
      <c r="D146" t="s">
        <v>562</v>
      </c>
      <c r="E146" t="s">
        <v>579</v>
      </c>
      <c r="F146" t="s">
        <v>580</v>
      </c>
      <c r="G146" t="s">
        <v>21</v>
      </c>
      <c r="H146" t="s">
        <v>30</v>
      </c>
      <c r="I146" t="s">
        <v>23</v>
      </c>
      <c r="J146" t="s">
        <v>1183</v>
      </c>
      <c r="K146" t="s">
        <v>4</v>
      </c>
      <c r="L146" t="s">
        <v>24</v>
      </c>
      <c r="N146" t="s">
        <v>26</v>
      </c>
      <c r="O146">
        <v>0.6</v>
      </c>
      <c r="P146">
        <v>0.88</v>
      </c>
    </row>
    <row r="147" spans="1:16" x14ac:dyDescent="0.25">
      <c r="A147">
        <v>138</v>
      </c>
      <c r="B147" t="s">
        <v>581</v>
      </c>
      <c r="C147" t="s">
        <v>561</v>
      </c>
      <c r="D147" t="s">
        <v>562</v>
      </c>
      <c r="E147" t="s">
        <v>582</v>
      </c>
      <c r="F147" t="s">
        <v>583</v>
      </c>
      <c r="G147" t="s">
        <v>21</v>
      </c>
      <c r="H147" t="s">
        <v>30</v>
      </c>
      <c r="I147" t="s">
        <v>23</v>
      </c>
      <c r="J147" t="s">
        <v>1183</v>
      </c>
      <c r="K147" t="s">
        <v>4</v>
      </c>
      <c r="L147" t="s">
        <v>24</v>
      </c>
      <c r="N147" t="s">
        <v>26</v>
      </c>
      <c r="O147">
        <v>0.6</v>
      </c>
      <c r="P147">
        <v>0.88</v>
      </c>
    </row>
    <row r="148" spans="1:16" x14ac:dyDescent="0.25">
      <c r="A148">
        <v>117</v>
      </c>
      <c r="B148" t="s">
        <v>584</v>
      </c>
      <c r="C148" t="s">
        <v>477</v>
      </c>
      <c r="D148" t="s">
        <v>585</v>
      </c>
      <c r="E148" t="s">
        <v>586</v>
      </c>
      <c r="F148" t="s">
        <v>587</v>
      </c>
      <c r="G148" t="s">
        <v>40</v>
      </c>
      <c r="H148" t="s">
        <v>22</v>
      </c>
      <c r="I148" t="s">
        <v>40</v>
      </c>
      <c r="J148" t="s">
        <v>1183</v>
      </c>
      <c r="K148" t="s">
        <v>3</v>
      </c>
      <c r="L148" t="s">
        <v>24</v>
      </c>
      <c r="N148" t="s">
        <v>26</v>
      </c>
    </row>
    <row r="149" spans="1:16" x14ac:dyDescent="0.25">
      <c r="A149">
        <v>318</v>
      </c>
      <c r="B149" t="s">
        <v>588</v>
      </c>
      <c r="C149" t="s">
        <v>141</v>
      </c>
      <c r="D149" t="s">
        <v>589</v>
      </c>
      <c r="E149" t="s">
        <v>590</v>
      </c>
      <c r="F149" t="s">
        <v>591</v>
      </c>
      <c r="G149" t="s">
        <v>21</v>
      </c>
      <c r="H149" t="s">
        <v>30</v>
      </c>
      <c r="I149" t="s">
        <v>23</v>
      </c>
      <c r="J149" t="s">
        <v>1183</v>
      </c>
      <c r="K149" t="s">
        <v>4</v>
      </c>
      <c r="L149" t="s">
        <v>24</v>
      </c>
      <c r="M149" t="s">
        <v>340</v>
      </c>
      <c r="N149" t="s">
        <v>26</v>
      </c>
    </row>
    <row r="150" spans="1:16" x14ac:dyDescent="0.25">
      <c r="A150">
        <v>144</v>
      </c>
      <c r="B150" t="s">
        <v>592</v>
      </c>
      <c r="C150" t="s">
        <v>593</v>
      </c>
      <c r="D150" t="s">
        <v>594</v>
      </c>
      <c r="E150" t="s">
        <v>595</v>
      </c>
      <c r="F150" t="s">
        <v>596</v>
      </c>
      <c r="G150" t="s">
        <v>21</v>
      </c>
      <c r="H150" t="s">
        <v>30</v>
      </c>
      <c r="I150" t="s">
        <v>23</v>
      </c>
      <c r="J150" t="s">
        <v>1183</v>
      </c>
      <c r="K150" t="s">
        <v>4</v>
      </c>
      <c r="L150" t="s">
        <v>24</v>
      </c>
      <c r="N150" t="s">
        <v>26</v>
      </c>
      <c r="O150">
        <v>0.7</v>
      </c>
      <c r="P150">
        <v>0.79</v>
      </c>
    </row>
    <row r="151" spans="1:16" x14ac:dyDescent="0.25">
      <c r="A151">
        <v>66</v>
      </c>
      <c r="B151" t="s">
        <v>597</v>
      </c>
      <c r="C151" t="s">
        <v>593</v>
      </c>
      <c r="D151" t="s">
        <v>594</v>
      </c>
      <c r="E151" t="s">
        <v>598</v>
      </c>
      <c r="F151" t="s">
        <v>599</v>
      </c>
      <c r="G151" t="s">
        <v>35</v>
      </c>
      <c r="H151" t="s">
        <v>30</v>
      </c>
      <c r="I151" t="s">
        <v>23</v>
      </c>
      <c r="J151">
        <v>45</v>
      </c>
      <c r="K151" t="s">
        <v>4</v>
      </c>
      <c r="L151" t="s">
        <v>24</v>
      </c>
      <c r="M151" t="s">
        <v>264</v>
      </c>
      <c r="N151" t="s">
        <v>26</v>
      </c>
      <c r="O151">
        <v>0.7</v>
      </c>
      <c r="P151">
        <v>0.79</v>
      </c>
    </row>
    <row r="152" spans="1:16" x14ac:dyDescent="0.25">
      <c r="A152">
        <v>145</v>
      </c>
      <c r="B152" t="s">
        <v>600</v>
      </c>
      <c r="C152" t="s">
        <v>593</v>
      </c>
      <c r="D152" t="s">
        <v>594</v>
      </c>
      <c r="E152" t="s">
        <v>601</v>
      </c>
      <c r="F152" t="s">
        <v>602</v>
      </c>
      <c r="G152" t="s">
        <v>40</v>
      </c>
      <c r="H152" t="s">
        <v>40</v>
      </c>
      <c r="I152" t="s">
        <v>40</v>
      </c>
      <c r="J152" t="s">
        <v>1183</v>
      </c>
      <c r="K152" t="s">
        <v>3</v>
      </c>
      <c r="L152" t="s">
        <v>24</v>
      </c>
      <c r="P152">
        <v>0.79</v>
      </c>
    </row>
    <row r="153" spans="1:16" x14ac:dyDescent="0.25">
      <c r="A153">
        <v>146</v>
      </c>
      <c r="B153" t="s">
        <v>603</v>
      </c>
      <c r="C153" t="s">
        <v>593</v>
      </c>
      <c r="D153" t="s">
        <v>594</v>
      </c>
      <c r="E153" t="s">
        <v>604</v>
      </c>
      <c r="F153" t="s">
        <v>605</v>
      </c>
      <c r="G153" t="s">
        <v>21</v>
      </c>
      <c r="H153" t="s">
        <v>30</v>
      </c>
      <c r="I153" t="s">
        <v>23</v>
      </c>
      <c r="J153" t="s">
        <v>1183</v>
      </c>
      <c r="K153" t="s">
        <v>4</v>
      </c>
      <c r="L153" t="s">
        <v>24</v>
      </c>
      <c r="N153" t="s">
        <v>26</v>
      </c>
      <c r="O153">
        <v>0.7</v>
      </c>
      <c r="P153">
        <v>0.79</v>
      </c>
    </row>
    <row r="154" spans="1:16" x14ac:dyDescent="0.25">
      <c r="A154">
        <v>147</v>
      </c>
      <c r="B154" t="s">
        <v>606</v>
      </c>
      <c r="C154" t="s">
        <v>593</v>
      </c>
      <c r="D154" t="s">
        <v>594</v>
      </c>
      <c r="E154" t="s">
        <v>607</v>
      </c>
      <c r="F154" t="s">
        <v>608</v>
      </c>
      <c r="G154" t="s">
        <v>21</v>
      </c>
      <c r="H154" t="s">
        <v>30</v>
      </c>
      <c r="I154" t="s">
        <v>23</v>
      </c>
      <c r="J154" t="s">
        <v>1183</v>
      </c>
      <c r="K154" t="s">
        <v>4</v>
      </c>
      <c r="L154" t="s">
        <v>24</v>
      </c>
      <c r="M154" t="s">
        <v>609</v>
      </c>
      <c r="N154" t="s">
        <v>26</v>
      </c>
      <c r="O154">
        <v>0.7</v>
      </c>
      <c r="P154">
        <v>0.79</v>
      </c>
    </row>
    <row r="155" spans="1:16" x14ac:dyDescent="0.25">
      <c r="A155">
        <v>151</v>
      </c>
      <c r="B155" t="s">
        <v>610</v>
      </c>
      <c r="C155" t="s">
        <v>611</v>
      </c>
      <c r="D155" t="s">
        <v>612</v>
      </c>
      <c r="E155" t="s">
        <v>613</v>
      </c>
      <c r="F155" t="s">
        <v>614</v>
      </c>
      <c r="G155" t="s">
        <v>21</v>
      </c>
      <c r="H155" t="s">
        <v>30</v>
      </c>
      <c r="I155" t="s">
        <v>23</v>
      </c>
      <c r="J155" t="s">
        <v>1183</v>
      </c>
      <c r="K155" t="s">
        <v>4</v>
      </c>
      <c r="L155" t="s">
        <v>24</v>
      </c>
      <c r="M155" t="s">
        <v>615</v>
      </c>
      <c r="N155" t="s">
        <v>26</v>
      </c>
      <c r="O155">
        <v>0.68</v>
      </c>
      <c r="P155">
        <v>0.86</v>
      </c>
    </row>
    <row r="156" spans="1:16" x14ac:dyDescent="0.25">
      <c r="A156">
        <v>148</v>
      </c>
      <c r="B156" t="s">
        <v>616</v>
      </c>
      <c r="C156" t="s">
        <v>611</v>
      </c>
      <c r="D156" t="s">
        <v>612</v>
      </c>
      <c r="E156" t="s">
        <v>617</v>
      </c>
      <c r="F156" t="s">
        <v>618</v>
      </c>
      <c r="G156" t="s">
        <v>21</v>
      </c>
      <c r="H156" t="s">
        <v>30</v>
      </c>
      <c r="I156" t="s">
        <v>23</v>
      </c>
      <c r="J156">
        <v>20</v>
      </c>
      <c r="K156" t="s">
        <v>4</v>
      </c>
      <c r="L156" t="s">
        <v>24</v>
      </c>
      <c r="M156" t="s">
        <v>307</v>
      </c>
      <c r="N156" t="s">
        <v>26</v>
      </c>
      <c r="O156">
        <v>0.63</v>
      </c>
      <c r="P156">
        <v>0.91</v>
      </c>
    </row>
    <row r="157" spans="1:16" x14ac:dyDescent="0.25">
      <c r="A157">
        <v>303</v>
      </c>
      <c r="B157" t="s">
        <v>619</v>
      </c>
      <c r="C157" t="s">
        <v>611</v>
      </c>
      <c r="D157" t="s">
        <v>612</v>
      </c>
      <c r="E157" t="s">
        <v>620</v>
      </c>
      <c r="F157" t="s">
        <v>621</v>
      </c>
      <c r="G157" t="s">
        <v>21</v>
      </c>
      <c r="H157" t="s">
        <v>30</v>
      </c>
      <c r="I157" t="s">
        <v>23</v>
      </c>
      <c r="J157" t="s">
        <v>1183</v>
      </c>
      <c r="K157" t="s">
        <v>4</v>
      </c>
      <c r="L157" t="s">
        <v>24</v>
      </c>
      <c r="N157" t="s">
        <v>26</v>
      </c>
      <c r="O157">
        <v>0.65</v>
      </c>
    </row>
    <row r="158" spans="1:16" x14ac:dyDescent="0.25">
      <c r="A158">
        <v>153</v>
      </c>
      <c r="B158" t="s">
        <v>622</v>
      </c>
      <c r="C158" t="s">
        <v>611</v>
      </c>
      <c r="D158" t="s">
        <v>612</v>
      </c>
      <c r="E158" t="s">
        <v>623</v>
      </c>
      <c r="F158" t="s">
        <v>624</v>
      </c>
      <c r="G158" t="s">
        <v>21</v>
      </c>
      <c r="H158" t="s">
        <v>22</v>
      </c>
      <c r="I158" t="s">
        <v>23</v>
      </c>
      <c r="J158">
        <v>70</v>
      </c>
      <c r="K158" t="s">
        <v>4</v>
      </c>
      <c r="L158" t="s">
        <v>24</v>
      </c>
      <c r="M158" t="s">
        <v>625</v>
      </c>
      <c r="N158" t="s">
        <v>26</v>
      </c>
      <c r="O158">
        <v>0.38</v>
      </c>
      <c r="P158">
        <v>0.86</v>
      </c>
    </row>
    <row r="159" spans="1:16" x14ac:dyDescent="0.25">
      <c r="A159">
        <v>152</v>
      </c>
      <c r="B159" t="s">
        <v>626</v>
      </c>
      <c r="C159" t="s">
        <v>611</v>
      </c>
      <c r="D159" t="s">
        <v>612</v>
      </c>
      <c r="E159" t="s">
        <v>627</v>
      </c>
      <c r="F159" t="s">
        <v>628</v>
      </c>
      <c r="G159" t="s">
        <v>21</v>
      </c>
      <c r="H159" t="s">
        <v>30</v>
      </c>
      <c r="I159" t="s">
        <v>23</v>
      </c>
      <c r="J159">
        <v>20</v>
      </c>
      <c r="K159" t="s">
        <v>4</v>
      </c>
      <c r="L159" t="s">
        <v>24</v>
      </c>
      <c r="M159" t="s">
        <v>307</v>
      </c>
      <c r="N159" t="s">
        <v>26</v>
      </c>
      <c r="O159">
        <v>0.77</v>
      </c>
      <c r="P159">
        <v>0.86</v>
      </c>
    </row>
    <row r="160" spans="1:16" x14ac:dyDescent="0.25">
      <c r="A160">
        <v>159</v>
      </c>
      <c r="B160" t="s">
        <v>629</v>
      </c>
      <c r="C160" t="s">
        <v>611</v>
      </c>
      <c r="D160" t="s">
        <v>612</v>
      </c>
      <c r="E160" t="s">
        <v>630</v>
      </c>
      <c r="F160" t="s">
        <v>631</v>
      </c>
      <c r="G160" t="s">
        <v>35</v>
      </c>
      <c r="H160" t="s">
        <v>30</v>
      </c>
      <c r="I160" t="s">
        <v>6</v>
      </c>
      <c r="J160" t="s">
        <v>1183</v>
      </c>
      <c r="K160" t="s">
        <v>4</v>
      </c>
      <c r="L160" t="s">
        <v>24</v>
      </c>
      <c r="M160" t="s">
        <v>632</v>
      </c>
      <c r="N160" t="s">
        <v>26</v>
      </c>
      <c r="O160">
        <v>0.4</v>
      </c>
      <c r="P160">
        <v>0.86</v>
      </c>
    </row>
    <row r="161" spans="1:16" x14ac:dyDescent="0.25">
      <c r="A161">
        <v>155</v>
      </c>
      <c r="B161" t="s">
        <v>633</v>
      </c>
      <c r="C161" t="s">
        <v>611</v>
      </c>
      <c r="D161" t="s">
        <v>612</v>
      </c>
      <c r="E161" t="s">
        <v>634</v>
      </c>
      <c r="F161" t="s">
        <v>635</v>
      </c>
      <c r="G161" t="s">
        <v>21</v>
      </c>
      <c r="H161" t="s">
        <v>22</v>
      </c>
      <c r="I161" t="s">
        <v>23</v>
      </c>
      <c r="J161">
        <v>60</v>
      </c>
      <c r="K161" t="s">
        <v>4</v>
      </c>
      <c r="L161" t="s">
        <v>24</v>
      </c>
      <c r="M161" t="s">
        <v>65</v>
      </c>
      <c r="N161" t="s">
        <v>26</v>
      </c>
      <c r="O161">
        <v>0.68</v>
      </c>
      <c r="P161">
        <v>0.88</v>
      </c>
    </row>
    <row r="162" spans="1:16" x14ac:dyDescent="0.25">
      <c r="A162">
        <v>161</v>
      </c>
      <c r="B162" t="s">
        <v>636</v>
      </c>
      <c r="C162" t="s">
        <v>611</v>
      </c>
      <c r="D162" t="s">
        <v>612</v>
      </c>
      <c r="E162" t="s">
        <v>637</v>
      </c>
      <c r="F162" t="s">
        <v>638</v>
      </c>
      <c r="G162" t="s">
        <v>21</v>
      </c>
      <c r="H162" t="s">
        <v>30</v>
      </c>
      <c r="I162" t="s">
        <v>23</v>
      </c>
      <c r="J162">
        <v>60</v>
      </c>
      <c r="K162" t="s">
        <v>4</v>
      </c>
      <c r="L162" t="s">
        <v>24</v>
      </c>
      <c r="M162" t="s">
        <v>639</v>
      </c>
      <c r="N162" t="s">
        <v>26</v>
      </c>
      <c r="O162">
        <v>0.68</v>
      </c>
      <c r="P162">
        <v>0.86</v>
      </c>
    </row>
    <row r="163" spans="1:16" x14ac:dyDescent="0.25">
      <c r="A163">
        <v>156</v>
      </c>
      <c r="B163" t="s">
        <v>640</v>
      </c>
      <c r="C163" t="s">
        <v>611</v>
      </c>
      <c r="D163" t="s">
        <v>612</v>
      </c>
      <c r="E163" t="s">
        <v>641</v>
      </c>
      <c r="F163" t="s">
        <v>642</v>
      </c>
      <c r="G163" t="s">
        <v>35</v>
      </c>
      <c r="H163" t="s">
        <v>30</v>
      </c>
      <c r="I163" t="s">
        <v>6</v>
      </c>
      <c r="J163">
        <v>60</v>
      </c>
      <c r="K163" t="s">
        <v>4</v>
      </c>
      <c r="L163" t="s">
        <v>24</v>
      </c>
      <c r="M163" t="s">
        <v>643</v>
      </c>
      <c r="N163" t="s">
        <v>26</v>
      </c>
      <c r="O163">
        <v>0.65</v>
      </c>
      <c r="P163">
        <v>0.83</v>
      </c>
    </row>
    <row r="164" spans="1:16" x14ac:dyDescent="0.25">
      <c r="A164">
        <v>157</v>
      </c>
      <c r="B164" t="s">
        <v>644</v>
      </c>
      <c r="C164" t="s">
        <v>611</v>
      </c>
      <c r="D164" t="s">
        <v>612</v>
      </c>
      <c r="E164" t="s">
        <v>645</v>
      </c>
      <c r="F164" t="s">
        <v>646</v>
      </c>
      <c r="G164" t="s">
        <v>35</v>
      </c>
      <c r="H164" t="s">
        <v>30</v>
      </c>
      <c r="I164" t="s">
        <v>6</v>
      </c>
      <c r="J164">
        <v>100</v>
      </c>
      <c r="K164" t="s">
        <v>4</v>
      </c>
      <c r="L164" t="s">
        <v>24</v>
      </c>
      <c r="M164" t="s">
        <v>264</v>
      </c>
      <c r="N164" t="s">
        <v>26</v>
      </c>
      <c r="O164">
        <v>0.61</v>
      </c>
      <c r="P164">
        <v>0.83</v>
      </c>
    </row>
    <row r="165" spans="1:16" x14ac:dyDescent="0.25">
      <c r="A165">
        <v>160</v>
      </c>
      <c r="B165" t="s">
        <v>647</v>
      </c>
      <c r="C165" t="s">
        <v>611</v>
      </c>
      <c r="D165" t="s">
        <v>612</v>
      </c>
      <c r="E165" t="s">
        <v>648</v>
      </c>
      <c r="F165" t="s">
        <v>649</v>
      </c>
      <c r="G165" t="s">
        <v>35</v>
      </c>
      <c r="H165" t="s">
        <v>30</v>
      </c>
      <c r="I165" t="s">
        <v>6</v>
      </c>
      <c r="J165">
        <v>90</v>
      </c>
      <c r="K165" t="s">
        <v>4</v>
      </c>
      <c r="L165" t="s">
        <v>24</v>
      </c>
      <c r="M165" t="s">
        <v>650</v>
      </c>
      <c r="N165" t="s">
        <v>26</v>
      </c>
      <c r="O165">
        <v>0.78</v>
      </c>
      <c r="P165">
        <v>0.84</v>
      </c>
    </row>
    <row r="166" spans="1:16" x14ac:dyDescent="0.25">
      <c r="A166">
        <v>149</v>
      </c>
      <c r="B166" t="s">
        <v>651</v>
      </c>
      <c r="C166" t="s">
        <v>611</v>
      </c>
      <c r="D166" t="s">
        <v>612</v>
      </c>
      <c r="E166" t="s">
        <v>652</v>
      </c>
      <c r="F166" t="s">
        <v>653</v>
      </c>
      <c r="G166" t="s">
        <v>35</v>
      </c>
      <c r="H166" t="s">
        <v>30</v>
      </c>
      <c r="I166" t="s">
        <v>23</v>
      </c>
      <c r="J166">
        <v>90</v>
      </c>
      <c r="K166" t="s">
        <v>4</v>
      </c>
      <c r="L166" t="s">
        <v>24</v>
      </c>
      <c r="N166" t="s">
        <v>26</v>
      </c>
      <c r="O166">
        <v>0.85</v>
      </c>
      <c r="P166">
        <v>0.86</v>
      </c>
    </row>
    <row r="167" spans="1:16" x14ac:dyDescent="0.25">
      <c r="A167">
        <v>154</v>
      </c>
      <c r="B167" t="s">
        <v>654</v>
      </c>
      <c r="C167" t="s">
        <v>611</v>
      </c>
      <c r="D167" t="s">
        <v>612</v>
      </c>
      <c r="E167" t="s">
        <v>655</v>
      </c>
      <c r="F167" t="s">
        <v>656</v>
      </c>
      <c r="G167" t="s">
        <v>35</v>
      </c>
      <c r="H167" t="s">
        <v>30</v>
      </c>
      <c r="I167" t="s">
        <v>23</v>
      </c>
      <c r="J167">
        <v>15</v>
      </c>
      <c r="K167" t="s">
        <v>4</v>
      </c>
      <c r="L167" t="s">
        <v>24</v>
      </c>
      <c r="M167" t="s">
        <v>657</v>
      </c>
      <c r="N167" t="s">
        <v>26</v>
      </c>
      <c r="O167">
        <v>0.65</v>
      </c>
      <c r="P167">
        <v>0.86</v>
      </c>
    </row>
    <row r="168" spans="1:16" x14ac:dyDescent="0.25">
      <c r="A168">
        <v>158</v>
      </c>
      <c r="B168" t="s">
        <v>658</v>
      </c>
      <c r="C168" t="s">
        <v>611</v>
      </c>
      <c r="D168" t="s">
        <v>612</v>
      </c>
      <c r="E168" t="s">
        <v>659</v>
      </c>
      <c r="F168" t="s">
        <v>660</v>
      </c>
      <c r="G168" t="s">
        <v>40</v>
      </c>
      <c r="H168" t="s">
        <v>40</v>
      </c>
      <c r="I168" t="s">
        <v>40</v>
      </c>
      <c r="J168" t="s">
        <v>1183</v>
      </c>
      <c r="K168" t="s">
        <v>3</v>
      </c>
      <c r="L168" t="s">
        <v>24</v>
      </c>
      <c r="P168">
        <v>0.86</v>
      </c>
    </row>
    <row r="169" spans="1:16" x14ac:dyDescent="0.25">
      <c r="A169">
        <v>162</v>
      </c>
      <c r="B169" t="s">
        <v>661</v>
      </c>
      <c r="C169" t="s">
        <v>611</v>
      </c>
      <c r="D169" t="s">
        <v>612</v>
      </c>
      <c r="E169" t="s">
        <v>662</v>
      </c>
      <c r="F169" t="s">
        <v>663</v>
      </c>
      <c r="G169" t="s">
        <v>21</v>
      </c>
      <c r="H169" t="s">
        <v>30</v>
      </c>
      <c r="I169" t="s">
        <v>23</v>
      </c>
      <c r="J169" t="s">
        <v>1183</v>
      </c>
      <c r="K169" t="s">
        <v>4</v>
      </c>
      <c r="L169" t="s">
        <v>24</v>
      </c>
      <c r="N169" t="s">
        <v>26</v>
      </c>
      <c r="O169">
        <v>0.65</v>
      </c>
      <c r="P169">
        <v>0.86</v>
      </c>
    </row>
    <row r="170" spans="1:16" x14ac:dyDescent="0.25">
      <c r="A170">
        <v>150</v>
      </c>
      <c r="B170" t="s">
        <v>664</v>
      </c>
      <c r="C170" t="s">
        <v>611</v>
      </c>
      <c r="D170" t="s">
        <v>612</v>
      </c>
      <c r="E170" t="s">
        <v>665</v>
      </c>
      <c r="F170" t="s">
        <v>666</v>
      </c>
      <c r="G170" t="s">
        <v>35</v>
      </c>
      <c r="H170" t="s">
        <v>30</v>
      </c>
      <c r="I170" t="s">
        <v>6</v>
      </c>
      <c r="J170">
        <v>40</v>
      </c>
      <c r="K170" t="s">
        <v>4</v>
      </c>
      <c r="L170" t="s">
        <v>24</v>
      </c>
      <c r="M170" t="s">
        <v>667</v>
      </c>
      <c r="N170" t="s">
        <v>26</v>
      </c>
      <c r="O170">
        <v>0.8</v>
      </c>
      <c r="P170">
        <v>0.86</v>
      </c>
    </row>
    <row r="171" spans="1:16" x14ac:dyDescent="0.25">
      <c r="A171">
        <v>168</v>
      </c>
      <c r="B171" t="s">
        <v>668</v>
      </c>
      <c r="C171" t="s">
        <v>42</v>
      </c>
      <c r="D171" t="s">
        <v>669</v>
      </c>
      <c r="E171" t="s">
        <v>670</v>
      </c>
      <c r="F171" t="s">
        <v>671</v>
      </c>
      <c r="G171" t="s">
        <v>21</v>
      </c>
      <c r="H171" t="s">
        <v>30</v>
      </c>
      <c r="I171" t="s">
        <v>23</v>
      </c>
      <c r="J171" t="s">
        <v>1183</v>
      </c>
      <c r="K171" t="s">
        <v>4</v>
      </c>
      <c r="L171" t="s">
        <v>24</v>
      </c>
      <c r="M171" t="s">
        <v>672</v>
      </c>
      <c r="N171" t="s">
        <v>26</v>
      </c>
      <c r="O171">
        <v>0.4</v>
      </c>
      <c r="P171">
        <v>0.79</v>
      </c>
    </row>
    <row r="172" spans="1:16" x14ac:dyDescent="0.25">
      <c r="A172">
        <v>163</v>
      </c>
      <c r="B172" t="s">
        <v>673</v>
      </c>
      <c r="C172" t="s">
        <v>42</v>
      </c>
      <c r="D172" t="s">
        <v>669</v>
      </c>
      <c r="E172" t="s">
        <v>674</v>
      </c>
      <c r="F172" t="s">
        <v>675</v>
      </c>
      <c r="G172" t="s">
        <v>35</v>
      </c>
      <c r="H172" t="s">
        <v>30</v>
      </c>
      <c r="I172" t="s">
        <v>6</v>
      </c>
      <c r="J172">
        <v>40</v>
      </c>
      <c r="K172" t="s">
        <v>4</v>
      </c>
      <c r="L172" t="s">
        <v>24</v>
      </c>
      <c r="M172" t="s">
        <v>264</v>
      </c>
      <c r="N172" t="s">
        <v>26</v>
      </c>
      <c r="O172">
        <v>0.4</v>
      </c>
      <c r="P172">
        <v>0.79</v>
      </c>
    </row>
    <row r="173" spans="1:16" x14ac:dyDescent="0.25">
      <c r="A173">
        <v>171</v>
      </c>
      <c r="B173" t="s">
        <v>676</v>
      </c>
      <c r="C173" t="s">
        <v>42</v>
      </c>
      <c r="D173" t="s">
        <v>669</v>
      </c>
      <c r="E173" t="s">
        <v>677</v>
      </c>
      <c r="F173" t="s">
        <v>678</v>
      </c>
      <c r="G173" t="s">
        <v>21</v>
      </c>
      <c r="H173" t="s">
        <v>30</v>
      </c>
      <c r="I173" t="s">
        <v>23</v>
      </c>
      <c r="J173" t="s">
        <v>1183</v>
      </c>
      <c r="K173" t="s">
        <v>4</v>
      </c>
      <c r="L173" t="s">
        <v>24</v>
      </c>
      <c r="N173" t="s">
        <v>26</v>
      </c>
      <c r="O173">
        <v>0.4</v>
      </c>
      <c r="P173">
        <v>0.79</v>
      </c>
    </row>
    <row r="174" spans="1:16" x14ac:dyDescent="0.25">
      <c r="A174">
        <v>166</v>
      </c>
      <c r="B174" t="s">
        <v>679</v>
      </c>
      <c r="C174" t="s">
        <v>42</v>
      </c>
      <c r="D174" t="s">
        <v>669</v>
      </c>
      <c r="E174" t="s">
        <v>680</v>
      </c>
      <c r="F174" t="s">
        <v>681</v>
      </c>
      <c r="G174" t="s">
        <v>21</v>
      </c>
      <c r="H174" t="s">
        <v>30</v>
      </c>
      <c r="I174" t="s">
        <v>23</v>
      </c>
      <c r="J174">
        <v>40</v>
      </c>
      <c r="K174" t="s">
        <v>4</v>
      </c>
      <c r="L174" t="s">
        <v>24</v>
      </c>
      <c r="M174" t="s">
        <v>65</v>
      </c>
      <c r="N174" t="s">
        <v>26</v>
      </c>
      <c r="O174">
        <v>0.4</v>
      </c>
      <c r="P174">
        <v>0.79</v>
      </c>
    </row>
    <row r="175" spans="1:16" x14ac:dyDescent="0.25">
      <c r="A175">
        <v>169</v>
      </c>
      <c r="B175" t="s">
        <v>682</v>
      </c>
      <c r="C175" t="s">
        <v>42</v>
      </c>
      <c r="D175" t="s">
        <v>669</v>
      </c>
      <c r="E175" t="s">
        <v>683</v>
      </c>
      <c r="F175" t="s">
        <v>684</v>
      </c>
      <c r="G175" t="s">
        <v>35</v>
      </c>
      <c r="H175" t="s">
        <v>30</v>
      </c>
      <c r="I175" t="s">
        <v>23</v>
      </c>
      <c r="J175">
        <v>30</v>
      </c>
      <c r="K175" t="s">
        <v>4</v>
      </c>
      <c r="L175" t="s">
        <v>24</v>
      </c>
      <c r="N175" t="s">
        <v>26</v>
      </c>
      <c r="O175">
        <v>0.4</v>
      </c>
      <c r="P175">
        <v>0.79</v>
      </c>
    </row>
    <row r="176" spans="1:16" x14ac:dyDescent="0.25">
      <c r="A176">
        <v>259</v>
      </c>
      <c r="B176" t="s">
        <v>685</v>
      </c>
      <c r="C176" t="s">
        <v>42</v>
      </c>
      <c r="D176" t="s">
        <v>669</v>
      </c>
      <c r="E176" t="s">
        <v>686</v>
      </c>
      <c r="F176" t="s">
        <v>687</v>
      </c>
      <c r="G176" t="s">
        <v>21</v>
      </c>
      <c r="H176" t="s">
        <v>30</v>
      </c>
      <c r="I176" t="s">
        <v>23</v>
      </c>
      <c r="J176" t="s">
        <v>1183</v>
      </c>
      <c r="K176" t="s">
        <v>4</v>
      </c>
      <c r="L176" t="s">
        <v>24</v>
      </c>
      <c r="N176" t="s">
        <v>26</v>
      </c>
      <c r="O176">
        <v>0.4</v>
      </c>
      <c r="P176">
        <v>0.79</v>
      </c>
    </row>
    <row r="177" spans="1:16" x14ac:dyDescent="0.25">
      <c r="A177">
        <v>164</v>
      </c>
      <c r="B177" t="s">
        <v>688</v>
      </c>
      <c r="C177" t="s">
        <v>42</v>
      </c>
      <c r="D177" t="s">
        <v>669</v>
      </c>
      <c r="E177" t="s">
        <v>689</v>
      </c>
      <c r="F177" t="s">
        <v>690</v>
      </c>
      <c r="G177" t="s">
        <v>21</v>
      </c>
      <c r="H177" t="s">
        <v>30</v>
      </c>
      <c r="I177" t="s">
        <v>23</v>
      </c>
      <c r="J177" t="s">
        <v>1183</v>
      </c>
      <c r="K177" t="s">
        <v>4</v>
      </c>
      <c r="L177" t="s">
        <v>24</v>
      </c>
      <c r="N177" t="s">
        <v>26</v>
      </c>
      <c r="O177">
        <v>0.4</v>
      </c>
      <c r="P177">
        <v>0.79</v>
      </c>
    </row>
    <row r="178" spans="1:16" x14ac:dyDescent="0.25">
      <c r="A178">
        <v>170</v>
      </c>
      <c r="B178" t="s">
        <v>691</v>
      </c>
      <c r="C178" t="s">
        <v>42</v>
      </c>
      <c r="D178" t="s">
        <v>669</v>
      </c>
      <c r="E178" t="s">
        <v>692</v>
      </c>
      <c r="F178" t="s">
        <v>693</v>
      </c>
      <c r="G178" t="s">
        <v>40</v>
      </c>
      <c r="H178" t="s">
        <v>40</v>
      </c>
      <c r="I178" t="s">
        <v>40</v>
      </c>
      <c r="J178" t="s">
        <v>1183</v>
      </c>
      <c r="K178" t="s">
        <v>3</v>
      </c>
      <c r="L178" t="s">
        <v>24</v>
      </c>
      <c r="P178">
        <v>0.79</v>
      </c>
    </row>
    <row r="179" spans="1:16" x14ac:dyDescent="0.25">
      <c r="A179">
        <v>167</v>
      </c>
      <c r="B179" t="s">
        <v>694</v>
      </c>
      <c r="C179" t="s">
        <v>42</v>
      </c>
      <c r="D179" t="s">
        <v>669</v>
      </c>
      <c r="E179" t="s">
        <v>695</v>
      </c>
      <c r="F179" t="s">
        <v>696</v>
      </c>
      <c r="G179" t="s">
        <v>21</v>
      </c>
      <c r="H179" t="s">
        <v>30</v>
      </c>
      <c r="I179" t="s">
        <v>23</v>
      </c>
      <c r="J179">
        <v>40</v>
      </c>
      <c r="K179" t="s">
        <v>4</v>
      </c>
      <c r="L179" t="s">
        <v>24</v>
      </c>
      <c r="N179" t="s">
        <v>26</v>
      </c>
      <c r="O179">
        <v>0.4</v>
      </c>
      <c r="P179">
        <v>0.79</v>
      </c>
    </row>
    <row r="180" spans="1:16" x14ac:dyDescent="0.25">
      <c r="A180">
        <v>165</v>
      </c>
      <c r="B180" t="s">
        <v>697</v>
      </c>
      <c r="C180" t="s">
        <v>42</v>
      </c>
      <c r="D180" t="s">
        <v>669</v>
      </c>
      <c r="E180" t="s">
        <v>698</v>
      </c>
      <c r="F180" t="s">
        <v>699</v>
      </c>
      <c r="G180" t="s">
        <v>21</v>
      </c>
      <c r="H180" t="s">
        <v>30</v>
      </c>
      <c r="I180" t="s">
        <v>23</v>
      </c>
      <c r="J180">
        <v>40</v>
      </c>
      <c r="K180" t="s">
        <v>4</v>
      </c>
      <c r="L180" t="s">
        <v>24</v>
      </c>
      <c r="N180" t="s">
        <v>26</v>
      </c>
      <c r="O180">
        <v>0.4</v>
      </c>
      <c r="P180">
        <v>0.79</v>
      </c>
    </row>
    <row r="181" spans="1:16" x14ac:dyDescent="0.25">
      <c r="A181">
        <v>175</v>
      </c>
      <c r="B181" t="s">
        <v>700</v>
      </c>
      <c r="C181" t="s">
        <v>701</v>
      </c>
      <c r="D181" t="s">
        <v>702</v>
      </c>
      <c r="E181" t="s">
        <v>703</v>
      </c>
      <c r="F181" t="s">
        <v>704</v>
      </c>
      <c r="G181" t="s">
        <v>21</v>
      </c>
      <c r="H181" t="s">
        <v>22</v>
      </c>
      <c r="I181" t="s">
        <v>23</v>
      </c>
      <c r="J181">
        <v>40</v>
      </c>
      <c r="K181" t="s">
        <v>4</v>
      </c>
      <c r="L181" t="s">
        <v>24</v>
      </c>
      <c r="M181" t="s">
        <v>191</v>
      </c>
      <c r="N181" t="s">
        <v>26</v>
      </c>
      <c r="O181">
        <v>0.6</v>
      </c>
      <c r="P181">
        <v>0.79</v>
      </c>
    </row>
    <row r="182" spans="1:16" x14ac:dyDescent="0.25">
      <c r="A182">
        <v>172</v>
      </c>
      <c r="B182" t="s">
        <v>705</v>
      </c>
      <c r="C182" t="s">
        <v>701</v>
      </c>
      <c r="D182" t="s">
        <v>702</v>
      </c>
      <c r="E182" t="s">
        <v>706</v>
      </c>
      <c r="F182" t="s">
        <v>707</v>
      </c>
      <c r="G182" t="s">
        <v>21</v>
      </c>
      <c r="H182" t="s">
        <v>30</v>
      </c>
      <c r="I182" t="s">
        <v>23</v>
      </c>
      <c r="J182" t="s">
        <v>1183</v>
      </c>
      <c r="K182" t="s">
        <v>4</v>
      </c>
      <c r="L182" t="s">
        <v>24</v>
      </c>
      <c r="N182" t="s">
        <v>26</v>
      </c>
      <c r="O182">
        <v>0.8</v>
      </c>
      <c r="P182">
        <v>0.79</v>
      </c>
    </row>
    <row r="183" spans="1:16" x14ac:dyDescent="0.25">
      <c r="A183">
        <v>173</v>
      </c>
      <c r="B183" t="s">
        <v>708</v>
      </c>
      <c r="C183" t="s">
        <v>701</v>
      </c>
      <c r="D183" t="s">
        <v>702</v>
      </c>
      <c r="E183" t="s">
        <v>709</v>
      </c>
      <c r="F183" t="s">
        <v>710</v>
      </c>
      <c r="G183" t="s">
        <v>35</v>
      </c>
      <c r="H183" t="s">
        <v>30</v>
      </c>
      <c r="I183" t="s">
        <v>23</v>
      </c>
      <c r="J183">
        <v>40</v>
      </c>
      <c r="K183" t="s">
        <v>4</v>
      </c>
      <c r="L183" t="s">
        <v>24</v>
      </c>
      <c r="N183" t="s">
        <v>26</v>
      </c>
      <c r="O183">
        <v>0.6</v>
      </c>
      <c r="P183">
        <v>0.79</v>
      </c>
    </row>
    <row r="184" spans="1:16" x14ac:dyDescent="0.25">
      <c r="A184">
        <v>174</v>
      </c>
      <c r="B184" t="s">
        <v>711</v>
      </c>
      <c r="C184" t="s">
        <v>701</v>
      </c>
      <c r="D184" t="s">
        <v>702</v>
      </c>
      <c r="E184" t="s">
        <v>712</v>
      </c>
      <c r="F184" t="s">
        <v>713</v>
      </c>
      <c r="G184" t="s">
        <v>40</v>
      </c>
      <c r="H184" t="s">
        <v>40</v>
      </c>
      <c r="I184" t="s">
        <v>40</v>
      </c>
      <c r="J184" t="s">
        <v>1183</v>
      </c>
      <c r="K184" t="s">
        <v>3</v>
      </c>
      <c r="L184" t="s">
        <v>24</v>
      </c>
      <c r="P184">
        <v>0.79</v>
      </c>
    </row>
    <row r="185" spans="1:16" x14ac:dyDescent="0.25">
      <c r="A185">
        <v>283</v>
      </c>
      <c r="B185" t="s">
        <v>714</v>
      </c>
      <c r="C185" t="s">
        <v>40</v>
      </c>
      <c r="D185" t="s">
        <v>40</v>
      </c>
      <c r="E185" t="s">
        <v>714</v>
      </c>
      <c r="F185" t="s">
        <v>714</v>
      </c>
      <c r="G185" t="s">
        <v>40</v>
      </c>
      <c r="H185" t="s">
        <v>40</v>
      </c>
      <c r="I185" t="s">
        <v>40</v>
      </c>
      <c r="J185" t="s">
        <v>1183</v>
      </c>
      <c r="K185" t="s">
        <v>295</v>
      </c>
    </row>
    <row r="186" spans="1:16" x14ac:dyDescent="0.25">
      <c r="A186">
        <v>190</v>
      </c>
      <c r="B186" t="s">
        <v>715</v>
      </c>
      <c r="C186" t="s">
        <v>95</v>
      </c>
      <c r="D186" t="s">
        <v>716</v>
      </c>
      <c r="E186" t="s">
        <v>717</v>
      </c>
      <c r="F186" t="s">
        <v>718</v>
      </c>
      <c r="G186" t="s">
        <v>35</v>
      </c>
      <c r="H186" t="s">
        <v>30</v>
      </c>
      <c r="I186" t="s">
        <v>6</v>
      </c>
      <c r="J186">
        <v>100</v>
      </c>
      <c r="K186" t="s">
        <v>4</v>
      </c>
      <c r="L186" t="s">
        <v>24</v>
      </c>
      <c r="M186" t="s">
        <v>248</v>
      </c>
      <c r="N186" t="s">
        <v>26</v>
      </c>
      <c r="O186">
        <v>0.79</v>
      </c>
      <c r="P186">
        <v>0.75</v>
      </c>
    </row>
    <row r="187" spans="1:16" x14ac:dyDescent="0.25">
      <c r="A187">
        <v>189</v>
      </c>
      <c r="B187" t="s">
        <v>719</v>
      </c>
      <c r="C187" t="s">
        <v>95</v>
      </c>
      <c r="D187" t="s">
        <v>716</v>
      </c>
      <c r="E187" t="s">
        <v>720</v>
      </c>
      <c r="F187" t="s">
        <v>721</v>
      </c>
      <c r="G187" t="s">
        <v>35</v>
      </c>
      <c r="H187" t="s">
        <v>30</v>
      </c>
      <c r="I187" t="s">
        <v>6</v>
      </c>
      <c r="J187">
        <v>90</v>
      </c>
      <c r="K187" t="s">
        <v>4</v>
      </c>
      <c r="L187" t="s">
        <v>24</v>
      </c>
      <c r="M187" t="s">
        <v>264</v>
      </c>
      <c r="N187" t="s">
        <v>26</v>
      </c>
      <c r="O187">
        <v>0.7</v>
      </c>
      <c r="P187">
        <v>0.79</v>
      </c>
    </row>
    <row r="188" spans="1:16" x14ac:dyDescent="0.25">
      <c r="A188">
        <v>185</v>
      </c>
      <c r="B188" t="s">
        <v>722</v>
      </c>
      <c r="C188" t="s">
        <v>95</v>
      </c>
      <c r="D188" t="s">
        <v>716</v>
      </c>
      <c r="E188" t="s">
        <v>723</v>
      </c>
      <c r="F188" t="s">
        <v>724</v>
      </c>
      <c r="G188" t="s">
        <v>21</v>
      </c>
      <c r="H188" t="s">
        <v>30</v>
      </c>
      <c r="I188" t="s">
        <v>23</v>
      </c>
      <c r="J188">
        <v>70</v>
      </c>
      <c r="K188" t="s">
        <v>4</v>
      </c>
      <c r="L188" t="s">
        <v>24</v>
      </c>
      <c r="M188" t="s">
        <v>264</v>
      </c>
      <c r="N188" t="s">
        <v>26</v>
      </c>
      <c r="O188">
        <v>0.6</v>
      </c>
      <c r="P188">
        <v>0.79</v>
      </c>
    </row>
    <row r="189" spans="1:16" x14ac:dyDescent="0.25">
      <c r="A189">
        <v>284</v>
      </c>
      <c r="B189" t="s">
        <v>725</v>
      </c>
      <c r="C189" t="s">
        <v>95</v>
      </c>
      <c r="D189" t="s">
        <v>716</v>
      </c>
      <c r="E189" t="s">
        <v>726</v>
      </c>
      <c r="F189" t="s">
        <v>727</v>
      </c>
      <c r="G189" t="s">
        <v>21</v>
      </c>
      <c r="H189" t="s">
        <v>30</v>
      </c>
      <c r="I189" t="s">
        <v>23</v>
      </c>
      <c r="J189" t="s">
        <v>1183</v>
      </c>
      <c r="K189" t="s">
        <v>4</v>
      </c>
      <c r="L189" t="s">
        <v>24</v>
      </c>
      <c r="N189" t="s">
        <v>26</v>
      </c>
    </row>
    <row r="190" spans="1:16" x14ac:dyDescent="0.25">
      <c r="A190">
        <v>182</v>
      </c>
      <c r="B190" t="s">
        <v>728</v>
      </c>
      <c r="C190" t="s">
        <v>95</v>
      </c>
      <c r="D190" t="s">
        <v>716</v>
      </c>
      <c r="E190" t="s">
        <v>729</v>
      </c>
      <c r="F190" t="s">
        <v>730</v>
      </c>
      <c r="G190" t="s">
        <v>35</v>
      </c>
      <c r="H190" t="s">
        <v>30</v>
      </c>
      <c r="I190" t="s">
        <v>23</v>
      </c>
      <c r="J190" t="s">
        <v>1183</v>
      </c>
      <c r="K190" t="s">
        <v>4</v>
      </c>
      <c r="L190" t="s">
        <v>24</v>
      </c>
      <c r="N190" t="s">
        <v>26</v>
      </c>
      <c r="O190">
        <v>0.7</v>
      </c>
      <c r="P190">
        <v>0.79</v>
      </c>
    </row>
    <row r="191" spans="1:16" x14ac:dyDescent="0.25">
      <c r="A191">
        <v>181</v>
      </c>
      <c r="B191" t="s">
        <v>731</v>
      </c>
      <c r="C191" t="s">
        <v>95</v>
      </c>
      <c r="D191" t="s">
        <v>716</v>
      </c>
      <c r="E191" t="s">
        <v>732</v>
      </c>
      <c r="F191" t="s">
        <v>733</v>
      </c>
      <c r="G191" t="s">
        <v>21</v>
      </c>
      <c r="H191" t="s">
        <v>30</v>
      </c>
      <c r="I191" t="s">
        <v>23</v>
      </c>
      <c r="J191">
        <v>80</v>
      </c>
      <c r="K191" t="s">
        <v>4</v>
      </c>
      <c r="L191" t="s">
        <v>24</v>
      </c>
      <c r="M191" t="s">
        <v>734</v>
      </c>
      <c r="N191" t="s">
        <v>26</v>
      </c>
      <c r="O191">
        <v>0.7</v>
      </c>
      <c r="P191">
        <v>0.79</v>
      </c>
    </row>
    <row r="192" spans="1:16" x14ac:dyDescent="0.25">
      <c r="A192">
        <v>186</v>
      </c>
      <c r="B192" t="s">
        <v>735</v>
      </c>
      <c r="C192" t="s">
        <v>95</v>
      </c>
      <c r="D192" t="s">
        <v>716</v>
      </c>
      <c r="E192" t="s">
        <v>736</v>
      </c>
      <c r="F192" t="s">
        <v>737</v>
      </c>
      <c r="G192" t="s">
        <v>21</v>
      </c>
      <c r="H192" t="s">
        <v>30</v>
      </c>
      <c r="I192" t="s">
        <v>23</v>
      </c>
      <c r="J192">
        <v>60</v>
      </c>
      <c r="K192" t="s">
        <v>4</v>
      </c>
      <c r="L192" t="s">
        <v>24</v>
      </c>
      <c r="M192" t="s">
        <v>264</v>
      </c>
      <c r="N192" t="s">
        <v>26</v>
      </c>
      <c r="O192">
        <v>0.7</v>
      </c>
      <c r="P192">
        <v>0.79</v>
      </c>
    </row>
    <row r="193" spans="1:16" x14ac:dyDescent="0.25">
      <c r="A193">
        <v>178</v>
      </c>
      <c r="B193" t="s">
        <v>738</v>
      </c>
      <c r="C193" t="s">
        <v>95</v>
      </c>
      <c r="D193" t="s">
        <v>716</v>
      </c>
      <c r="E193" t="s">
        <v>739</v>
      </c>
      <c r="F193" t="s">
        <v>740</v>
      </c>
      <c r="G193" t="s">
        <v>35</v>
      </c>
      <c r="H193" t="s">
        <v>30</v>
      </c>
      <c r="I193" t="s">
        <v>6</v>
      </c>
      <c r="J193">
        <v>70</v>
      </c>
      <c r="K193" t="s">
        <v>4</v>
      </c>
      <c r="L193" t="s">
        <v>24</v>
      </c>
      <c r="M193" t="s">
        <v>248</v>
      </c>
      <c r="N193" t="s">
        <v>26</v>
      </c>
      <c r="O193">
        <v>0.76</v>
      </c>
      <c r="P193">
        <v>0.79</v>
      </c>
    </row>
    <row r="194" spans="1:16" x14ac:dyDescent="0.25">
      <c r="A194">
        <v>179</v>
      </c>
      <c r="B194" t="s">
        <v>741</v>
      </c>
      <c r="C194" t="s">
        <v>95</v>
      </c>
      <c r="D194" t="s">
        <v>716</v>
      </c>
      <c r="E194" t="s">
        <v>742</v>
      </c>
      <c r="F194" t="s">
        <v>743</v>
      </c>
      <c r="G194" t="s">
        <v>35</v>
      </c>
      <c r="H194" t="s">
        <v>30</v>
      </c>
      <c r="I194" t="s">
        <v>23</v>
      </c>
      <c r="J194">
        <v>60</v>
      </c>
      <c r="K194" t="s">
        <v>4</v>
      </c>
      <c r="L194" t="s">
        <v>24</v>
      </c>
      <c r="M194" t="s">
        <v>264</v>
      </c>
      <c r="N194" t="s">
        <v>26</v>
      </c>
      <c r="O194">
        <v>0.7</v>
      </c>
      <c r="P194">
        <v>0.79</v>
      </c>
    </row>
    <row r="195" spans="1:16" x14ac:dyDescent="0.25">
      <c r="A195">
        <v>183</v>
      </c>
      <c r="B195" t="s">
        <v>744</v>
      </c>
      <c r="C195" t="s">
        <v>95</v>
      </c>
      <c r="D195" t="s">
        <v>716</v>
      </c>
      <c r="E195" t="s">
        <v>745</v>
      </c>
      <c r="F195" t="s">
        <v>746</v>
      </c>
      <c r="G195" t="s">
        <v>35</v>
      </c>
      <c r="H195" t="s">
        <v>30</v>
      </c>
      <c r="I195" t="s">
        <v>6</v>
      </c>
      <c r="J195">
        <v>60</v>
      </c>
      <c r="K195" t="s">
        <v>4</v>
      </c>
      <c r="L195" t="s">
        <v>24</v>
      </c>
      <c r="M195" t="s">
        <v>248</v>
      </c>
      <c r="N195" t="s">
        <v>26</v>
      </c>
      <c r="O195">
        <v>0.69</v>
      </c>
      <c r="P195">
        <v>0.77</v>
      </c>
    </row>
    <row r="196" spans="1:16" x14ac:dyDescent="0.25">
      <c r="A196">
        <v>180</v>
      </c>
      <c r="B196" t="s">
        <v>747</v>
      </c>
      <c r="C196" t="s">
        <v>95</v>
      </c>
      <c r="D196" t="s">
        <v>716</v>
      </c>
      <c r="E196" t="s">
        <v>748</v>
      </c>
      <c r="F196" t="s">
        <v>749</v>
      </c>
      <c r="G196" t="s">
        <v>21</v>
      </c>
      <c r="H196" t="s">
        <v>30</v>
      </c>
      <c r="I196" t="s">
        <v>23</v>
      </c>
      <c r="J196">
        <v>70</v>
      </c>
      <c r="K196" t="s">
        <v>4</v>
      </c>
      <c r="L196" t="s">
        <v>24</v>
      </c>
      <c r="M196" t="s">
        <v>65</v>
      </c>
      <c r="N196" t="s">
        <v>26</v>
      </c>
      <c r="O196">
        <v>0.79</v>
      </c>
      <c r="P196">
        <v>0.81</v>
      </c>
    </row>
    <row r="197" spans="1:16" x14ac:dyDescent="0.25">
      <c r="A197">
        <v>184</v>
      </c>
      <c r="B197" t="s">
        <v>750</v>
      </c>
      <c r="C197" t="s">
        <v>95</v>
      </c>
      <c r="D197" t="s">
        <v>716</v>
      </c>
      <c r="E197" t="s">
        <v>751</v>
      </c>
      <c r="F197" t="s">
        <v>752</v>
      </c>
      <c r="G197" t="s">
        <v>35</v>
      </c>
      <c r="H197" t="s">
        <v>30</v>
      </c>
      <c r="I197" t="s">
        <v>6</v>
      </c>
      <c r="J197">
        <v>90</v>
      </c>
      <c r="K197" t="s">
        <v>4</v>
      </c>
      <c r="L197" t="s">
        <v>24</v>
      </c>
      <c r="M197" t="s">
        <v>753</v>
      </c>
      <c r="N197" t="s">
        <v>26</v>
      </c>
      <c r="O197">
        <v>0.81</v>
      </c>
      <c r="P197">
        <v>0.81</v>
      </c>
    </row>
    <row r="198" spans="1:16" x14ac:dyDescent="0.25">
      <c r="A198">
        <v>187</v>
      </c>
      <c r="B198" t="s">
        <v>754</v>
      </c>
      <c r="C198" t="s">
        <v>95</v>
      </c>
      <c r="D198" t="s">
        <v>716</v>
      </c>
      <c r="E198" t="s">
        <v>755</v>
      </c>
      <c r="F198" t="s">
        <v>756</v>
      </c>
      <c r="G198" t="s">
        <v>35</v>
      </c>
      <c r="H198" t="s">
        <v>30</v>
      </c>
      <c r="I198" t="s">
        <v>23</v>
      </c>
      <c r="J198">
        <v>60</v>
      </c>
      <c r="K198" t="s">
        <v>4</v>
      </c>
      <c r="L198" t="s">
        <v>24</v>
      </c>
      <c r="M198" t="s">
        <v>264</v>
      </c>
      <c r="N198" t="s">
        <v>26</v>
      </c>
      <c r="O198">
        <v>0.7</v>
      </c>
      <c r="P198">
        <v>0.79</v>
      </c>
    </row>
    <row r="199" spans="1:16" x14ac:dyDescent="0.25">
      <c r="A199">
        <v>188</v>
      </c>
      <c r="B199" t="s">
        <v>757</v>
      </c>
      <c r="C199" t="s">
        <v>95</v>
      </c>
      <c r="D199" t="s">
        <v>716</v>
      </c>
      <c r="E199" t="s">
        <v>758</v>
      </c>
      <c r="F199" t="s">
        <v>759</v>
      </c>
      <c r="G199" t="s">
        <v>40</v>
      </c>
      <c r="H199" t="s">
        <v>40</v>
      </c>
      <c r="I199" t="s">
        <v>40</v>
      </c>
      <c r="J199" t="s">
        <v>1183</v>
      </c>
      <c r="K199" t="s">
        <v>3</v>
      </c>
      <c r="L199" t="s">
        <v>24</v>
      </c>
      <c r="P199">
        <v>0.79</v>
      </c>
    </row>
    <row r="200" spans="1:16" x14ac:dyDescent="0.25">
      <c r="A200">
        <v>177</v>
      </c>
      <c r="B200" t="s">
        <v>760</v>
      </c>
      <c r="C200" t="s">
        <v>95</v>
      </c>
      <c r="D200" t="s">
        <v>716</v>
      </c>
      <c r="E200" t="s">
        <v>761</v>
      </c>
      <c r="F200" t="s">
        <v>762</v>
      </c>
      <c r="G200" t="s">
        <v>35</v>
      </c>
      <c r="H200" t="s">
        <v>30</v>
      </c>
      <c r="I200" t="s">
        <v>6</v>
      </c>
      <c r="J200">
        <v>90</v>
      </c>
      <c r="K200" t="s">
        <v>4</v>
      </c>
      <c r="L200" t="s">
        <v>24</v>
      </c>
      <c r="M200" t="s">
        <v>264</v>
      </c>
      <c r="N200" t="s">
        <v>26</v>
      </c>
      <c r="O200">
        <v>0.68</v>
      </c>
      <c r="P200">
        <v>0.79</v>
      </c>
    </row>
    <row r="201" spans="1:16" x14ac:dyDescent="0.25">
      <c r="A201">
        <v>192</v>
      </c>
      <c r="B201" t="s">
        <v>763</v>
      </c>
      <c r="C201" t="s">
        <v>701</v>
      </c>
      <c r="D201" t="s">
        <v>764</v>
      </c>
      <c r="E201" t="s">
        <v>765</v>
      </c>
      <c r="F201" t="s">
        <v>766</v>
      </c>
      <c r="G201" t="s">
        <v>21</v>
      </c>
      <c r="H201" t="s">
        <v>30</v>
      </c>
      <c r="I201" t="s">
        <v>23</v>
      </c>
      <c r="J201" t="s">
        <v>1183</v>
      </c>
      <c r="K201" t="s">
        <v>4</v>
      </c>
      <c r="L201" t="s">
        <v>24</v>
      </c>
      <c r="M201" t="s">
        <v>264</v>
      </c>
      <c r="N201" t="s">
        <v>26</v>
      </c>
      <c r="O201">
        <v>0.5</v>
      </c>
      <c r="P201">
        <v>0.79</v>
      </c>
    </row>
    <row r="202" spans="1:16" x14ac:dyDescent="0.25">
      <c r="A202">
        <v>308</v>
      </c>
      <c r="B202" t="s">
        <v>767</v>
      </c>
      <c r="C202" t="s">
        <v>768</v>
      </c>
      <c r="D202" t="s">
        <v>769</v>
      </c>
      <c r="E202" t="s">
        <v>770</v>
      </c>
      <c r="F202" t="s">
        <v>771</v>
      </c>
      <c r="G202" t="s">
        <v>21</v>
      </c>
      <c r="H202" t="s">
        <v>30</v>
      </c>
      <c r="I202" t="s">
        <v>23</v>
      </c>
      <c r="J202" t="s">
        <v>1183</v>
      </c>
      <c r="K202" t="s">
        <v>4</v>
      </c>
      <c r="L202" t="s">
        <v>24</v>
      </c>
      <c r="N202" t="s">
        <v>26</v>
      </c>
    </row>
    <row r="203" spans="1:16" x14ac:dyDescent="0.25">
      <c r="A203">
        <v>193</v>
      </c>
      <c r="B203" t="s">
        <v>772</v>
      </c>
      <c r="C203" t="s">
        <v>773</v>
      </c>
      <c r="D203" t="s">
        <v>774</v>
      </c>
      <c r="E203" t="s">
        <v>774</v>
      </c>
      <c r="F203" t="s">
        <v>775</v>
      </c>
      <c r="G203" t="s">
        <v>35</v>
      </c>
      <c r="H203" t="s">
        <v>30</v>
      </c>
      <c r="I203" t="s">
        <v>23</v>
      </c>
      <c r="J203" t="s">
        <v>1183</v>
      </c>
      <c r="K203" t="s">
        <v>4</v>
      </c>
      <c r="L203" t="s">
        <v>24</v>
      </c>
      <c r="N203" t="s">
        <v>26</v>
      </c>
      <c r="O203">
        <v>0.7</v>
      </c>
      <c r="P203">
        <v>0.79</v>
      </c>
    </row>
    <row r="204" spans="1:16" x14ac:dyDescent="0.25">
      <c r="A204">
        <v>281</v>
      </c>
      <c r="B204" t="s">
        <v>776</v>
      </c>
      <c r="C204" t="s">
        <v>42</v>
      </c>
      <c r="D204" t="s">
        <v>777</v>
      </c>
      <c r="E204" t="s">
        <v>778</v>
      </c>
      <c r="F204" t="s">
        <v>779</v>
      </c>
      <c r="G204" t="s">
        <v>21</v>
      </c>
      <c r="H204" t="s">
        <v>30</v>
      </c>
      <c r="I204" t="s">
        <v>23</v>
      </c>
      <c r="J204" t="s">
        <v>1183</v>
      </c>
      <c r="K204" t="s">
        <v>4</v>
      </c>
      <c r="L204" t="s">
        <v>24</v>
      </c>
      <c r="N204" t="s">
        <v>26</v>
      </c>
    </row>
    <row r="205" spans="1:16" x14ac:dyDescent="0.25">
      <c r="A205">
        <v>195</v>
      </c>
      <c r="B205" t="s">
        <v>780</v>
      </c>
      <c r="C205" t="s">
        <v>42</v>
      </c>
      <c r="D205" t="s">
        <v>781</v>
      </c>
      <c r="E205" t="s">
        <v>782</v>
      </c>
      <c r="F205" t="s">
        <v>783</v>
      </c>
      <c r="G205" t="s">
        <v>21</v>
      </c>
      <c r="H205" t="s">
        <v>30</v>
      </c>
      <c r="I205" t="s">
        <v>23</v>
      </c>
      <c r="J205" t="s">
        <v>1183</v>
      </c>
      <c r="K205" t="s">
        <v>4</v>
      </c>
      <c r="L205" t="s">
        <v>24</v>
      </c>
      <c r="N205" t="s">
        <v>26</v>
      </c>
      <c r="O205">
        <v>0.74</v>
      </c>
      <c r="P205">
        <v>0.8</v>
      </c>
    </row>
    <row r="206" spans="1:16" x14ac:dyDescent="0.25">
      <c r="A206">
        <v>194</v>
      </c>
      <c r="B206" t="s">
        <v>784</v>
      </c>
      <c r="C206" t="s">
        <v>42</v>
      </c>
      <c r="D206" t="s">
        <v>781</v>
      </c>
      <c r="E206" t="s">
        <v>785</v>
      </c>
      <c r="F206" t="s">
        <v>786</v>
      </c>
      <c r="G206" t="s">
        <v>21</v>
      </c>
      <c r="H206" t="s">
        <v>30</v>
      </c>
      <c r="I206" t="s">
        <v>23</v>
      </c>
      <c r="J206">
        <v>30</v>
      </c>
      <c r="K206" t="s">
        <v>4</v>
      </c>
      <c r="L206" t="s">
        <v>24</v>
      </c>
      <c r="N206" t="s">
        <v>26</v>
      </c>
      <c r="O206">
        <v>0.5</v>
      </c>
      <c r="P206">
        <v>0.8</v>
      </c>
    </row>
    <row r="207" spans="1:16" x14ac:dyDescent="0.25">
      <c r="A207">
        <v>197</v>
      </c>
      <c r="B207" t="s">
        <v>787</v>
      </c>
      <c r="C207" t="s">
        <v>42</v>
      </c>
      <c r="D207" t="s">
        <v>781</v>
      </c>
      <c r="E207" t="s">
        <v>788</v>
      </c>
      <c r="F207" t="s">
        <v>789</v>
      </c>
      <c r="G207" t="s">
        <v>40</v>
      </c>
      <c r="H207" t="s">
        <v>30</v>
      </c>
      <c r="I207" t="s">
        <v>23</v>
      </c>
      <c r="J207">
        <v>30</v>
      </c>
      <c r="K207" t="s">
        <v>4</v>
      </c>
      <c r="L207" t="s">
        <v>24</v>
      </c>
      <c r="N207" t="s">
        <v>26</v>
      </c>
      <c r="O207">
        <v>0.5</v>
      </c>
      <c r="P207">
        <v>0.8</v>
      </c>
    </row>
    <row r="208" spans="1:16" x14ac:dyDescent="0.25">
      <c r="A208">
        <v>196</v>
      </c>
      <c r="B208" t="s">
        <v>790</v>
      </c>
      <c r="C208" t="s">
        <v>42</v>
      </c>
      <c r="D208" t="s">
        <v>781</v>
      </c>
      <c r="E208" t="s">
        <v>791</v>
      </c>
      <c r="F208" t="s">
        <v>792</v>
      </c>
      <c r="G208" t="s">
        <v>21</v>
      </c>
      <c r="H208" t="s">
        <v>30</v>
      </c>
      <c r="I208" t="s">
        <v>23</v>
      </c>
      <c r="J208" t="s">
        <v>1183</v>
      </c>
      <c r="K208" t="s">
        <v>4</v>
      </c>
      <c r="L208" t="s">
        <v>24</v>
      </c>
      <c r="M208" t="s">
        <v>793</v>
      </c>
      <c r="N208" t="s">
        <v>26</v>
      </c>
      <c r="O208">
        <v>0.5</v>
      </c>
      <c r="P208">
        <v>0.8</v>
      </c>
    </row>
    <row r="209" spans="1:16" x14ac:dyDescent="0.25">
      <c r="A209">
        <v>198</v>
      </c>
      <c r="B209" t="s">
        <v>794</v>
      </c>
      <c r="C209" t="s">
        <v>141</v>
      </c>
      <c r="D209" t="s">
        <v>795</v>
      </c>
      <c r="E209" t="s">
        <v>796</v>
      </c>
      <c r="F209" t="s">
        <v>797</v>
      </c>
      <c r="G209" t="s">
        <v>21</v>
      </c>
      <c r="H209" t="s">
        <v>22</v>
      </c>
      <c r="I209" t="s">
        <v>23</v>
      </c>
      <c r="J209">
        <v>30</v>
      </c>
      <c r="K209" t="s">
        <v>4</v>
      </c>
      <c r="L209" t="s">
        <v>24</v>
      </c>
      <c r="M209" t="s">
        <v>798</v>
      </c>
      <c r="N209" t="s">
        <v>26</v>
      </c>
      <c r="O209">
        <v>0.6</v>
      </c>
      <c r="P209">
        <v>0.79</v>
      </c>
    </row>
    <row r="210" spans="1:16" x14ac:dyDescent="0.25">
      <c r="A210">
        <v>199</v>
      </c>
      <c r="B210" t="s">
        <v>799</v>
      </c>
      <c r="C210" t="s">
        <v>800</v>
      </c>
      <c r="D210" t="s">
        <v>801</v>
      </c>
      <c r="E210" t="s">
        <v>801</v>
      </c>
      <c r="F210" t="s">
        <v>802</v>
      </c>
      <c r="G210" t="s">
        <v>21</v>
      </c>
      <c r="H210" t="s">
        <v>30</v>
      </c>
      <c r="I210" t="s">
        <v>23</v>
      </c>
      <c r="J210" t="s">
        <v>1183</v>
      </c>
      <c r="K210" t="s">
        <v>4</v>
      </c>
      <c r="L210" t="s">
        <v>24</v>
      </c>
      <c r="M210" t="s">
        <v>264</v>
      </c>
      <c r="N210" t="s">
        <v>26</v>
      </c>
      <c r="O210">
        <v>0.7</v>
      </c>
      <c r="P210">
        <v>0.79</v>
      </c>
    </row>
    <row r="211" spans="1:16" x14ac:dyDescent="0.25">
      <c r="A211">
        <v>61</v>
      </c>
      <c r="B211" t="s">
        <v>803</v>
      </c>
      <c r="C211" t="s">
        <v>482</v>
      </c>
      <c r="D211" t="s">
        <v>804</v>
      </c>
      <c r="E211" t="s">
        <v>805</v>
      </c>
      <c r="F211" t="s">
        <v>806</v>
      </c>
      <c r="G211" t="s">
        <v>21</v>
      </c>
      <c r="H211" t="s">
        <v>30</v>
      </c>
      <c r="I211" t="s">
        <v>23</v>
      </c>
      <c r="J211">
        <v>40</v>
      </c>
      <c r="K211" t="s">
        <v>4</v>
      </c>
      <c r="L211" t="s">
        <v>24</v>
      </c>
      <c r="M211" t="s">
        <v>252</v>
      </c>
      <c r="N211" t="s">
        <v>26</v>
      </c>
      <c r="O211">
        <v>0.71</v>
      </c>
      <c r="P211">
        <v>0.79</v>
      </c>
    </row>
    <row r="212" spans="1:16" x14ac:dyDescent="0.25">
      <c r="A212">
        <v>201</v>
      </c>
      <c r="B212" t="s">
        <v>807</v>
      </c>
      <c r="C212" t="s">
        <v>321</v>
      </c>
      <c r="D212" t="s">
        <v>808</v>
      </c>
      <c r="E212" t="s">
        <v>809</v>
      </c>
      <c r="F212" t="s">
        <v>810</v>
      </c>
      <c r="G212" t="s">
        <v>21</v>
      </c>
      <c r="H212" t="s">
        <v>30</v>
      </c>
      <c r="I212" t="s">
        <v>23</v>
      </c>
      <c r="J212" t="s">
        <v>1183</v>
      </c>
      <c r="K212" t="s">
        <v>4</v>
      </c>
      <c r="L212" t="s">
        <v>204</v>
      </c>
      <c r="M212" t="s">
        <v>811</v>
      </c>
      <c r="N212" t="s">
        <v>26</v>
      </c>
      <c r="O212">
        <v>0.6</v>
      </c>
      <c r="P212">
        <v>0.79</v>
      </c>
    </row>
    <row r="213" spans="1:16" x14ac:dyDescent="0.25">
      <c r="A213">
        <v>202</v>
      </c>
      <c r="B213" t="s">
        <v>812</v>
      </c>
      <c r="C213" t="s">
        <v>321</v>
      </c>
      <c r="D213" t="s">
        <v>808</v>
      </c>
      <c r="E213" t="s">
        <v>813</v>
      </c>
      <c r="F213" t="s">
        <v>814</v>
      </c>
      <c r="G213" t="s">
        <v>35</v>
      </c>
      <c r="H213" t="s">
        <v>30</v>
      </c>
      <c r="I213" t="s">
        <v>6</v>
      </c>
      <c r="J213">
        <v>30</v>
      </c>
      <c r="K213" t="s">
        <v>4</v>
      </c>
      <c r="L213" t="s">
        <v>204</v>
      </c>
      <c r="M213" t="s">
        <v>815</v>
      </c>
      <c r="N213" t="s">
        <v>26</v>
      </c>
      <c r="O213">
        <v>0.53</v>
      </c>
      <c r="P213">
        <v>0.79</v>
      </c>
    </row>
    <row r="214" spans="1:16" x14ac:dyDescent="0.25">
      <c r="A214">
        <v>311</v>
      </c>
      <c r="B214" t="s">
        <v>816</v>
      </c>
      <c r="C214" t="s">
        <v>321</v>
      </c>
      <c r="D214" t="s">
        <v>808</v>
      </c>
      <c r="E214" t="s">
        <v>817</v>
      </c>
      <c r="F214" t="s">
        <v>818</v>
      </c>
      <c r="G214" t="s">
        <v>21</v>
      </c>
      <c r="H214" t="s">
        <v>30</v>
      </c>
      <c r="I214" t="s">
        <v>23</v>
      </c>
      <c r="J214">
        <v>100</v>
      </c>
      <c r="K214" t="s">
        <v>4</v>
      </c>
      <c r="L214" t="s">
        <v>204</v>
      </c>
      <c r="M214" t="s">
        <v>819</v>
      </c>
      <c r="N214" t="s">
        <v>26</v>
      </c>
      <c r="P214">
        <v>0.79</v>
      </c>
    </row>
    <row r="215" spans="1:16" x14ac:dyDescent="0.25">
      <c r="A215">
        <v>203</v>
      </c>
      <c r="B215" t="s">
        <v>820</v>
      </c>
      <c r="C215" t="s">
        <v>321</v>
      </c>
      <c r="D215" t="s">
        <v>808</v>
      </c>
      <c r="E215" t="s">
        <v>821</v>
      </c>
      <c r="F215" t="s">
        <v>822</v>
      </c>
      <c r="G215" t="s">
        <v>21</v>
      </c>
      <c r="H215" t="s">
        <v>30</v>
      </c>
      <c r="I215" t="s">
        <v>23</v>
      </c>
      <c r="J215">
        <v>15</v>
      </c>
      <c r="K215" t="s">
        <v>4</v>
      </c>
      <c r="L215" t="s">
        <v>204</v>
      </c>
      <c r="M215" t="s">
        <v>65</v>
      </c>
      <c r="N215" t="s">
        <v>26</v>
      </c>
      <c r="O215">
        <v>0.6</v>
      </c>
      <c r="P215">
        <v>0.79</v>
      </c>
    </row>
    <row r="216" spans="1:16" x14ac:dyDescent="0.25">
      <c r="A216">
        <v>200</v>
      </c>
      <c r="B216" t="s">
        <v>823</v>
      </c>
      <c r="C216" t="s">
        <v>321</v>
      </c>
      <c r="D216" t="s">
        <v>808</v>
      </c>
      <c r="E216" t="s">
        <v>824</v>
      </c>
      <c r="F216" t="s">
        <v>825</v>
      </c>
      <c r="G216" t="s">
        <v>21</v>
      </c>
      <c r="H216" t="s">
        <v>30</v>
      </c>
      <c r="I216" t="s">
        <v>23</v>
      </c>
      <c r="J216">
        <v>50</v>
      </c>
      <c r="K216" t="s">
        <v>4</v>
      </c>
      <c r="L216" t="s">
        <v>204</v>
      </c>
      <c r="M216" t="s">
        <v>399</v>
      </c>
      <c r="N216" t="s">
        <v>26</v>
      </c>
      <c r="O216">
        <v>0.63</v>
      </c>
      <c r="P216">
        <v>0.79</v>
      </c>
    </row>
    <row r="217" spans="1:16" x14ac:dyDescent="0.25">
      <c r="A217">
        <v>205</v>
      </c>
      <c r="B217" t="s">
        <v>826</v>
      </c>
      <c r="C217" t="s">
        <v>321</v>
      </c>
      <c r="D217" t="s">
        <v>808</v>
      </c>
      <c r="E217" t="s">
        <v>827</v>
      </c>
      <c r="F217" t="s">
        <v>828</v>
      </c>
      <c r="G217" t="s">
        <v>21</v>
      </c>
      <c r="H217" t="s">
        <v>30</v>
      </c>
      <c r="I217" t="s">
        <v>23</v>
      </c>
      <c r="J217">
        <v>80</v>
      </c>
      <c r="K217" t="s">
        <v>4</v>
      </c>
      <c r="L217" t="s">
        <v>204</v>
      </c>
      <c r="M217" t="s">
        <v>264</v>
      </c>
      <c r="N217" t="s">
        <v>26</v>
      </c>
      <c r="O217">
        <v>0.6</v>
      </c>
      <c r="P217">
        <v>0.79</v>
      </c>
    </row>
    <row r="218" spans="1:16" x14ac:dyDescent="0.25">
      <c r="A218">
        <v>206</v>
      </c>
      <c r="B218" t="s">
        <v>829</v>
      </c>
      <c r="C218" t="s">
        <v>321</v>
      </c>
      <c r="D218" t="s">
        <v>808</v>
      </c>
      <c r="E218" t="s">
        <v>830</v>
      </c>
      <c r="F218" t="s">
        <v>831</v>
      </c>
      <c r="G218" t="s">
        <v>35</v>
      </c>
      <c r="H218" t="s">
        <v>30</v>
      </c>
      <c r="I218" t="s">
        <v>6</v>
      </c>
      <c r="J218">
        <v>75</v>
      </c>
      <c r="K218" t="s">
        <v>4</v>
      </c>
      <c r="L218" t="s">
        <v>204</v>
      </c>
      <c r="M218" t="s">
        <v>832</v>
      </c>
      <c r="N218" t="s">
        <v>26</v>
      </c>
      <c r="O218">
        <v>0.7</v>
      </c>
      <c r="P218">
        <v>0.79</v>
      </c>
    </row>
    <row r="219" spans="1:16" x14ac:dyDescent="0.25">
      <c r="A219">
        <v>204</v>
      </c>
      <c r="B219" t="s">
        <v>833</v>
      </c>
      <c r="C219" t="s">
        <v>321</v>
      </c>
      <c r="D219" t="s">
        <v>808</v>
      </c>
      <c r="E219" t="s">
        <v>834</v>
      </c>
      <c r="F219" t="s">
        <v>835</v>
      </c>
      <c r="G219" t="s">
        <v>35</v>
      </c>
      <c r="H219" t="s">
        <v>30</v>
      </c>
      <c r="I219" t="s">
        <v>6</v>
      </c>
      <c r="J219">
        <v>30</v>
      </c>
      <c r="K219" t="s">
        <v>4</v>
      </c>
      <c r="L219" t="s">
        <v>204</v>
      </c>
      <c r="M219" t="s">
        <v>836</v>
      </c>
      <c r="N219" t="s">
        <v>26</v>
      </c>
      <c r="O219">
        <v>0.6</v>
      </c>
      <c r="P219">
        <v>0.79</v>
      </c>
    </row>
    <row r="220" spans="1:16" x14ac:dyDescent="0.25">
      <c r="A220">
        <v>209</v>
      </c>
      <c r="B220" t="s">
        <v>837</v>
      </c>
      <c r="C220" t="s">
        <v>321</v>
      </c>
      <c r="D220" t="s">
        <v>808</v>
      </c>
      <c r="E220" t="s">
        <v>838</v>
      </c>
      <c r="F220" t="s">
        <v>839</v>
      </c>
      <c r="G220" t="s">
        <v>40</v>
      </c>
      <c r="H220" t="s">
        <v>40</v>
      </c>
      <c r="I220" t="s">
        <v>40</v>
      </c>
      <c r="J220" t="s">
        <v>1183</v>
      </c>
      <c r="K220" t="s">
        <v>3</v>
      </c>
      <c r="L220" t="s">
        <v>204</v>
      </c>
      <c r="P220">
        <v>0.79</v>
      </c>
    </row>
    <row r="221" spans="1:16" x14ac:dyDescent="0.25">
      <c r="A221">
        <v>210</v>
      </c>
      <c r="B221" t="s">
        <v>840</v>
      </c>
      <c r="C221" t="s">
        <v>321</v>
      </c>
      <c r="D221" t="s">
        <v>808</v>
      </c>
      <c r="E221" t="s">
        <v>841</v>
      </c>
      <c r="F221" t="s">
        <v>842</v>
      </c>
      <c r="G221" t="s">
        <v>35</v>
      </c>
      <c r="H221" t="s">
        <v>30</v>
      </c>
      <c r="I221" t="s">
        <v>6</v>
      </c>
      <c r="J221">
        <v>100</v>
      </c>
      <c r="K221" t="s">
        <v>4</v>
      </c>
      <c r="L221" t="s">
        <v>204</v>
      </c>
      <c r="M221" t="s">
        <v>843</v>
      </c>
      <c r="N221" t="s">
        <v>26</v>
      </c>
      <c r="O221">
        <v>0.75</v>
      </c>
      <c r="P221">
        <v>0.79</v>
      </c>
    </row>
    <row r="222" spans="1:16" x14ac:dyDescent="0.25">
      <c r="A222">
        <v>208</v>
      </c>
      <c r="B222" t="s">
        <v>844</v>
      </c>
      <c r="C222" t="s">
        <v>321</v>
      </c>
      <c r="D222" t="s">
        <v>808</v>
      </c>
      <c r="E222" t="s">
        <v>845</v>
      </c>
      <c r="F222" t="s">
        <v>846</v>
      </c>
      <c r="G222" t="s">
        <v>21</v>
      </c>
      <c r="H222" t="s">
        <v>22</v>
      </c>
      <c r="I222" t="s">
        <v>23</v>
      </c>
      <c r="J222">
        <v>50</v>
      </c>
      <c r="K222" t="s">
        <v>4</v>
      </c>
      <c r="L222" t="s">
        <v>204</v>
      </c>
      <c r="M222" t="s">
        <v>847</v>
      </c>
      <c r="N222" t="s">
        <v>26</v>
      </c>
      <c r="O222">
        <v>0.53</v>
      </c>
      <c r="P222">
        <v>0.79</v>
      </c>
    </row>
    <row r="223" spans="1:16" x14ac:dyDescent="0.25">
      <c r="A223">
        <v>306</v>
      </c>
      <c r="B223" t="s">
        <v>848</v>
      </c>
      <c r="C223" t="s">
        <v>321</v>
      </c>
      <c r="D223" t="s">
        <v>808</v>
      </c>
      <c r="E223" t="s">
        <v>849</v>
      </c>
      <c r="F223" t="s">
        <v>850</v>
      </c>
      <c r="G223" t="s">
        <v>21</v>
      </c>
      <c r="H223" t="s">
        <v>30</v>
      </c>
      <c r="I223" t="s">
        <v>23</v>
      </c>
      <c r="J223" t="s">
        <v>1183</v>
      </c>
      <c r="K223" t="s">
        <v>4</v>
      </c>
      <c r="L223" t="s">
        <v>204</v>
      </c>
      <c r="N223" t="s">
        <v>26</v>
      </c>
    </row>
    <row r="224" spans="1:16" x14ac:dyDescent="0.25">
      <c r="A224">
        <v>305</v>
      </c>
      <c r="B224" t="s">
        <v>851</v>
      </c>
      <c r="C224" t="s">
        <v>321</v>
      </c>
      <c r="D224" t="s">
        <v>808</v>
      </c>
      <c r="E224" t="s">
        <v>852</v>
      </c>
      <c r="F224" t="s">
        <v>853</v>
      </c>
      <c r="G224" t="s">
        <v>21</v>
      </c>
      <c r="H224" t="s">
        <v>30</v>
      </c>
      <c r="I224" t="s">
        <v>23</v>
      </c>
      <c r="J224" t="s">
        <v>1183</v>
      </c>
      <c r="K224" t="s">
        <v>4</v>
      </c>
      <c r="L224" t="s">
        <v>204</v>
      </c>
      <c r="N224" t="s">
        <v>26</v>
      </c>
    </row>
    <row r="225" spans="1:16" x14ac:dyDescent="0.25">
      <c r="A225">
        <v>249</v>
      </c>
      <c r="B225" t="s">
        <v>854</v>
      </c>
      <c r="C225" t="s">
        <v>855</v>
      </c>
      <c r="D225" t="s">
        <v>856</v>
      </c>
      <c r="E225" t="s">
        <v>857</v>
      </c>
      <c r="F225" t="s">
        <v>858</v>
      </c>
      <c r="G225" t="s">
        <v>35</v>
      </c>
      <c r="H225" t="s">
        <v>30</v>
      </c>
      <c r="I225" t="s">
        <v>23</v>
      </c>
      <c r="J225">
        <v>90</v>
      </c>
      <c r="K225" t="s">
        <v>4</v>
      </c>
      <c r="L225" t="s">
        <v>24</v>
      </c>
      <c r="M225" t="s">
        <v>264</v>
      </c>
      <c r="N225" t="s">
        <v>26</v>
      </c>
      <c r="O225">
        <v>0.69</v>
      </c>
      <c r="P225">
        <v>0.86</v>
      </c>
    </row>
    <row r="226" spans="1:16" x14ac:dyDescent="0.25">
      <c r="A226">
        <v>213</v>
      </c>
      <c r="B226" t="s">
        <v>859</v>
      </c>
      <c r="C226" t="s">
        <v>855</v>
      </c>
      <c r="D226" t="s">
        <v>856</v>
      </c>
      <c r="E226" t="s">
        <v>860</v>
      </c>
      <c r="F226" t="s">
        <v>861</v>
      </c>
      <c r="G226" t="s">
        <v>40</v>
      </c>
      <c r="H226" t="s">
        <v>40</v>
      </c>
      <c r="I226" t="s">
        <v>40</v>
      </c>
      <c r="J226" t="s">
        <v>1183</v>
      </c>
      <c r="K226" t="s">
        <v>3</v>
      </c>
      <c r="L226" t="s">
        <v>24</v>
      </c>
      <c r="P226">
        <v>0.86</v>
      </c>
    </row>
    <row r="227" spans="1:16" x14ac:dyDescent="0.25">
      <c r="A227">
        <v>211</v>
      </c>
      <c r="B227" t="s">
        <v>862</v>
      </c>
      <c r="C227" t="s">
        <v>855</v>
      </c>
      <c r="D227" t="s">
        <v>856</v>
      </c>
      <c r="E227" t="s">
        <v>863</v>
      </c>
      <c r="F227" t="s">
        <v>864</v>
      </c>
      <c r="G227" t="s">
        <v>21</v>
      </c>
      <c r="H227" t="s">
        <v>30</v>
      </c>
      <c r="I227" t="s">
        <v>23</v>
      </c>
      <c r="J227">
        <v>75</v>
      </c>
      <c r="K227" t="s">
        <v>4</v>
      </c>
      <c r="L227" t="s">
        <v>24</v>
      </c>
      <c r="N227" t="s">
        <v>26</v>
      </c>
      <c r="O227">
        <v>0.68</v>
      </c>
      <c r="P227">
        <v>0.86</v>
      </c>
    </row>
    <row r="228" spans="1:16" x14ac:dyDescent="0.25">
      <c r="A228">
        <v>212</v>
      </c>
      <c r="B228" t="s">
        <v>865</v>
      </c>
      <c r="C228" t="s">
        <v>866</v>
      </c>
      <c r="D228" t="s">
        <v>866</v>
      </c>
      <c r="E228" t="s">
        <v>866</v>
      </c>
      <c r="F228" t="s">
        <v>866</v>
      </c>
      <c r="G228" t="s">
        <v>40</v>
      </c>
      <c r="H228" t="s">
        <v>40</v>
      </c>
      <c r="I228" t="s">
        <v>40</v>
      </c>
      <c r="J228" t="s">
        <v>1183</v>
      </c>
      <c r="K228" t="s">
        <v>295</v>
      </c>
    </row>
    <row r="229" spans="1:16" x14ac:dyDescent="0.25">
      <c r="A229">
        <v>221</v>
      </c>
      <c r="B229" t="s">
        <v>867</v>
      </c>
      <c r="C229" t="s">
        <v>868</v>
      </c>
      <c r="D229" t="s">
        <v>869</v>
      </c>
      <c r="E229" t="s">
        <v>870</v>
      </c>
      <c r="F229" t="s">
        <v>871</v>
      </c>
      <c r="G229" t="s">
        <v>21</v>
      </c>
      <c r="H229" t="s">
        <v>30</v>
      </c>
      <c r="I229" t="s">
        <v>23</v>
      </c>
      <c r="J229">
        <v>60</v>
      </c>
      <c r="K229" t="s">
        <v>4</v>
      </c>
      <c r="L229" t="s">
        <v>24</v>
      </c>
      <c r="M229" t="s">
        <v>872</v>
      </c>
      <c r="N229" t="s">
        <v>26</v>
      </c>
      <c r="O229">
        <v>0.45</v>
      </c>
      <c r="P229">
        <v>0.8</v>
      </c>
    </row>
    <row r="230" spans="1:16" x14ac:dyDescent="0.25">
      <c r="A230">
        <v>217</v>
      </c>
      <c r="B230" t="s">
        <v>873</v>
      </c>
      <c r="C230" t="s">
        <v>868</v>
      </c>
      <c r="D230" t="s">
        <v>869</v>
      </c>
      <c r="E230" t="s">
        <v>874</v>
      </c>
      <c r="F230" t="s">
        <v>875</v>
      </c>
      <c r="G230" t="s">
        <v>35</v>
      </c>
      <c r="H230" t="s">
        <v>30</v>
      </c>
      <c r="I230" t="s">
        <v>6</v>
      </c>
      <c r="J230">
        <v>60</v>
      </c>
      <c r="K230" t="s">
        <v>4</v>
      </c>
      <c r="L230" t="s">
        <v>24</v>
      </c>
      <c r="M230" t="s">
        <v>876</v>
      </c>
      <c r="N230" t="s">
        <v>26</v>
      </c>
      <c r="O230">
        <v>0.3</v>
      </c>
      <c r="P230">
        <v>0.8</v>
      </c>
    </row>
    <row r="231" spans="1:16" x14ac:dyDescent="0.25">
      <c r="A231">
        <v>62</v>
      </c>
      <c r="B231" t="s">
        <v>877</v>
      </c>
      <c r="C231" t="s">
        <v>868</v>
      </c>
      <c r="D231" t="s">
        <v>869</v>
      </c>
      <c r="E231" t="s">
        <v>878</v>
      </c>
      <c r="F231" t="s">
        <v>879</v>
      </c>
      <c r="G231" t="s">
        <v>35</v>
      </c>
      <c r="H231" t="s">
        <v>30</v>
      </c>
      <c r="I231" t="s">
        <v>23</v>
      </c>
      <c r="J231">
        <v>100</v>
      </c>
      <c r="K231" t="s">
        <v>4</v>
      </c>
      <c r="L231" t="s">
        <v>24</v>
      </c>
      <c r="M231" t="s">
        <v>880</v>
      </c>
      <c r="N231" t="s">
        <v>26</v>
      </c>
      <c r="O231">
        <v>0.35</v>
      </c>
      <c r="P231">
        <v>0.85</v>
      </c>
    </row>
    <row r="232" spans="1:16" x14ac:dyDescent="0.25">
      <c r="A232">
        <v>16</v>
      </c>
      <c r="B232" t="s">
        <v>881</v>
      </c>
      <c r="C232" t="s">
        <v>868</v>
      </c>
      <c r="D232" t="s">
        <v>869</v>
      </c>
      <c r="E232" t="s">
        <v>882</v>
      </c>
      <c r="F232" t="s">
        <v>883</v>
      </c>
      <c r="G232" t="s">
        <v>35</v>
      </c>
      <c r="H232" t="s">
        <v>30</v>
      </c>
      <c r="I232" t="s">
        <v>6</v>
      </c>
      <c r="J232">
        <v>45</v>
      </c>
      <c r="K232" t="s">
        <v>4</v>
      </c>
      <c r="L232" t="s">
        <v>24</v>
      </c>
      <c r="M232" t="s">
        <v>884</v>
      </c>
      <c r="N232" t="s">
        <v>26</v>
      </c>
      <c r="O232">
        <v>0.35</v>
      </c>
      <c r="P232">
        <v>0.8</v>
      </c>
    </row>
    <row r="233" spans="1:16" x14ac:dyDescent="0.25">
      <c r="A233">
        <v>218</v>
      </c>
      <c r="B233" t="s">
        <v>885</v>
      </c>
      <c r="C233" t="s">
        <v>868</v>
      </c>
      <c r="D233" t="s">
        <v>869</v>
      </c>
      <c r="E233" t="s">
        <v>886</v>
      </c>
      <c r="F233" t="s">
        <v>887</v>
      </c>
      <c r="G233" t="s">
        <v>21</v>
      </c>
      <c r="H233" t="s">
        <v>30</v>
      </c>
      <c r="I233" t="s">
        <v>23</v>
      </c>
      <c r="J233">
        <v>90</v>
      </c>
      <c r="K233" t="s">
        <v>4</v>
      </c>
      <c r="L233" t="s">
        <v>24</v>
      </c>
      <c r="M233" t="s">
        <v>872</v>
      </c>
      <c r="N233" t="s">
        <v>26</v>
      </c>
      <c r="O233">
        <v>0.4</v>
      </c>
      <c r="P233">
        <v>0.8</v>
      </c>
    </row>
    <row r="234" spans="1:16" x14ac:dyDescent="0.25">
      <c r="A234">
        <v>220</v>
      </c>
      <c r="B234" t="s">
        <v>888</v>
      </c>
      <c r="C234" t="s">
        <v>868</v>
      </c>
      <c r="D234" t="s">
        <v>869</v>
      </c>
      <c r="E234" t="s">
        <v>889</v>
      </c>
      <c r="F234" t="s">
        <v>890</v>
      </c>
      <c r="G234" t="s">
        <v>40</v>
      </c>
      <c r="H234" t="s">
        <v>40</v>
      </c>
      <c r="I234" t="s">
        <v>40</v>
      </c>
      <c r="J234" t="s">
        <v>1183</v>
      </c>
      <c r="K234" t="s">
        <v>3</v>
      </c>
      <c r="L234" t="s">
        <v>24</v>
      </c>
      <c r="P234">
        <v>0.8</v>
      </c>
    </row>
    <row r="235" spans="1:16" x14ac:dyDescent="0.25">
      <c r="A235">
        <v>17</v>
      </c>
      <c r="B235" t="s">
        <v>891</v>
      </c>
      <c r="C235" t="s">
        <v>868</v>
      </c>
      <c r="D235" t="s">
        <v>869</v>
      </c>
      <c r="E235" t="s">
        <v>892</v>
      </c>
      <c r="F235" t="s">
        <v>893</v>
      </c>
      <c r="G235" t="s">
        <v>35</v>
      </c>
      <c r="H235" t="s">
        <v>30</v>
      </c>
      <c r="I235" t="s">
        <v>6</v>
      </c>
      <c r="J235">
        <v>45</v>
      </c>
      <c r="K235" t="s">
        <v>4</v>
      </c>
      <c r="L235" t="s">
        <v>24</v>
      </c>
      <c r="M235" t="s">
        <v>894</v>
      </c>
      <c r="N235" t="s">
        <v>26</v>
      </c>
      <c r="O235">
        <v>0.48</v>
      </c>
      <c r="P235">
        <v>0.74</v>
      </c>
    </row>
    <row r="236" spans="1:16" x14ac:dyDescent="0.25">
      <c r="A236">
        <v>219</v>
      </c>
      <c r="B236" t="s">
        <v>895</v>
      </c>
      <c r="C236" t="s">
        <v>868</v>
      </c>
      <c r="D236" t="s">
        <v>869</v>
      </c>
      <c r="E236" t="s">
        <v>896</v>
      </c>
      <c r="F236" t="s">
        <v>897</v>
      </c>
      <c r="G236" t="s">
        <v>35</v>
      </c>
      <c r="H236" t="s">
        <v>30</v>
      </c>
      <c r="I236" t="s">
        <v>23</v>
      </c>
      <c r="J236">
        <v>80</v>
      </c>
      <c r="K236" t="s">
        <v>4</v>
      </c>
      <c r="L236" t="s">
        <v>24</v>
      </c>
      <c r="N236" t="s">
        <v>26</v>
      </c>
      <c r="O236">
        <v>0.35</v>
      </c>
      <c r="P236">
        <v>0.8</v>
      </c>
    </row>
    <row r="237" spans="1:16" x14ac:dyDescent="0.25">
      <c r="A237">
        <v>123</v>
      </c>
      <c r="B237" t="s">
        <v>898</v>
      </c>
      <c r="C237" t="s">
        <v>868</v>
      </c>
      <c r="D237" t="s">
        <v>869</v>
      </c>
      <c r="E237" t="s">
        <v>899</v>
      </c>
      <c r="F237" t="s">
        <v>900</v>
      </c>
      <c r="G237" t="s">
        <v>40</v>
      </c>
      <c r="H237" t="s">
        <v>30</v>
      </c>
      <c r="I237" t="s">
        <v>23</v>
      </c>
      <c r="J237">
        <v>30</v>
      </c>
      <c r="K237" t="s">
        <v>4</v>
      </c>
      <c r="L237" t="s">
        <v>24</v>
      </c>
      <c r="N237" t="s">
        <v>26</v>
      </c>
      <c r="O237">
        <v>0.3</v>
      </c>
      <c r="P237">
        <v>0.8</v>
      </c>
    </row>
    <row r="238" spans="1:16" x14ac:dyDescent="0.25">
      <c r="A238">
        <v>224</v>
      </c>
      <c r="B238" t="s">
        <v>901</v>
      </c>
      <c r="C238" t="s">
        <v>141</v>
      </c>
      <c r="D238" t="s">
        <v>902</v>
      </c>
      <c r="E238" t="s">
        <v>902</v>
      </c>
      <c r="F238" t="s">
        <v>903</v>
      </c>
      <c r="G238" t="s">
        <v>35</v>
      </c>
      <c r="H238" t="s">
        <v>30</v>
      </c>
      <c r="I238" t="s">
        <v>23</v>
      </c>
      <c r="J238">
        <v>25</v>
      </c>
      <c r="K238" t="s">
        <v>4</v>
      </c>
      <c r="L238" t="s">
        <v>24</v>
      </c>
      <c r="M238" t="s">
        <v>904</v>
      </c>
      <c r="N238" t="s">
        <v>26</v>
      </c>
      <c r="O238">
        <v>0.69</v>
      </c>
      <c r="P238">
        <v>0.79</v>
      </c>
    </row>
    <row r="239" spans="1:16" x14ac:dyDescent="0.25">
      <c r="A239">
        <v>225</v>
      </c>
      <c r="B239" t="s">
        <v>905</v>
      </c>
      <c r="C239" t="s">
        <v>288</v>
      </c>
      <c r="D239" t="s">
        <v>906</v>
      </c>
      <c r="E239" t="s">
        <v>907</v>
      </c>
      <c r="F239" t="s">
        <v>908</v>
      </c>
      <c r="G239" t="s">
        <v>21</v>
      </c>
      <c r="H239" t="s">
        <v>30</v>
      </c>
      <c r="I239" t="s">
        <v>23</v>
      </c>
      <c r="J239">
        <v>90</v>
      </c>
      <c r="K239" t="s">
        <v>4</v>
      </c>
      <c r="L239" t="s">
        <v>204</v>
      </c>
      <c r="M239" t="s">
        <v>909</v>
      </c>
      <c r="N239" t="s">
        <v>26</v>
      </c>
      <c r="O239">
        <v>0.87</v>
      </c>
      <c r="P239">
        <v>0.79</v>
      </c>
    </row>
    <row r="240" spans="1:16" x14ac:dyDescent="0.25">
      <c r="A240">
        <v>227</v>
      </c>
      <c r="B240" t="s">
        <v>910</v>
      </c>
      <c r="C240" t="s">
        <v>42</v>
      </c>
      <c r="D240" t="s">
        <v>911</v>
      </c>
      <c r="E240" t="s">
        <v>910</v>
      </c>
      <c r="F240" t="s">
        <v>912</v>
      </c>
      <c r="G240" t="s">
        <v>40</v>
      </c>
      <c r="H240" t="s">
        <v>30</v>
      </c>
      <c r="I240" t="s">
        <v>23</v>
      </c>
      <c r="J240" t="s">
        <v>1183</v>
      </c>
      <c r="K240" t="s">
        <v>4</v>
      </c>
      <c r="L240" t="s">
        <v>24</v>
      </c>
      <c r="N240" t="s">
        <v>26</v>
      </c>
    </row>
    <row r="241" spans="1:16" x14ac:dyDescent="0.25">
      <c r="A241">
        <v>228</v>
      </c>
      <c r="B241" t="s">
        <v>913</v>
      </c>
      <c r="C241" t="s">
        <v>914</v>
      </c>
      <c r="D241" t="s">
        <v>915</v>
      </c>
      <c r="E241" t="s">
        <v>915</v>
      </c>
      <c r="F241" t="s">
        <v>916</v>
      </c>
      <c r="G241" t="s">
        <v>21</v>
      </c>
      <c r="H241" t="s">
        <v>30</v>
      </c>
      <c r="I241" t="s">
        <v>23</v>
      </c>
      <c r="J241">
        <v>10</v>
      </c>
      <c r="K241" t="s">
        <v>4</v>
      </c>
      <c r="L241" t="s">
        <v>24</v>
      </c>
      <c r="N241" t="s">
        <v>26</v>
      </c>
    </row>
    <row r="242" spans="1:16" x14ac:dyDescent="0.25">
      <c r="A242">
        <v>191</v>
      </c>
      <c r="B242" t="s">
        <v>917</v>
      </c>
      <c r="C242" t="s">
        <v>918</v>
      </c>
      <c r="D242" t="s">
        <v>919</v>
      </c>
      <c r="E242" t="s">
        <v>919</v>
      </c>
      <c r="F242" t="s">
        <v>920</v>
      </c>
      <c r="G242" t="s">
        <v>21</v>
      </c>
      <c r="H242" t="s">
        <v>22</v>
      </c>
      <c r="I242" t="s">
        <v>23</v>
      </c>
      <c r="J242">
        <v>50</v>
      </c>
      <c r="K242" t="s">
        <v>4</v>
      </c>
      <c r="L242" t="s">
        <v>24</v>
      </c>
      <c r="M242" t="s">
        <v>46</v>
      </c>
      <c r="N242" t="s">
        <v>26</v>
      </c>
      <c r="O242">
        <v>0.56000000000000005</v>
      </c>
      <c r="P242">
        <v>0.87</v>
      </c>
    </row>
    <row r="243" spans="1:16" x14ac:dyDescent="0.25">
      <c r="A243">
        <v>75</v>
      </c>
      <c r="B243" t="s">
        <v>921</v>
      </c>
      <c r="C243" t="s">
        <v>922</v>
      </c>
      <c r="D243" t="s">
        <v>923</v>
      </c>
      <c r="E243" t="s">
        <v>924</v>
      </c>
      <c r="F243" t="s">
        <v>925</v>
      </c>
      <c r="G243" t="s">
        <v>40</v>
      </c>
      <c r="H243" t="s">
        <v>40</v>
      </c>
      <c r="I243" t="s">
        <v>40</v>
      </c>
      <c r="J243" t="s">
        <v>1183</v>
      </c>
      <c r="K243" t="s">
        <v>3</v>
      </c>
      <c r="L243" t="s">
        <v>24</v>
      </c>
      <c r="N243" t="s">
        <v>26</v>
      </c>
      <c r="P243">
        <v>0.7</v>
      </c>
    </row>
    <row r="244" spans="1:16" x14ac:dyDescent="0.25">
      <c r="A244">
        <v>229</v>
      </c>
      <c r="B244" t="s">
        <v>926</v>
      </c>
      <c r="C244" t="s">
        <v>927</v>
      </c>
      <c r="D244" t="s">
        <v>928</v>
      </c>
      <c r="E244" t="s">
        <v>928</v>
      </c>
      <c r="F244" t="s">
        <v>929</v>
      </c>
      <c r="G244" t="s">
        <v>35</v>
      </c>
      <c r="H244" t="s">
        <v>30</v>
      </c>
      <c r="I244" t="s">
        <v>23</v>
      </c>
      <c r="J244">
        <v>40</v>
      </c>
      <c r="K244" t="s">
        <v>4</v>
      </c>
      <c r="L244" t="s">
        <v>24</v>
      </c>
      <c r="M244" t="s">
        <v>264</v>
      </c>
      <c r="N244" t="s">
        <v>26</v>
      </c>
      <c r="O244">
        <v>0.69</v>
      </c>
      <c r="P244">
        <v>0.79</v>
      </c>
    </row>
    <row r="245" spans="1:16" x14ac:dyDescent="0.25">
      <c r="A245">
        <v>286</v>
      </c>
      <c r="B245" t="s">
        <v>930</v>
      </c>
      <c r="C245" t="s">
        <v>288</v>
      </c>
      <c r="D245" t="s">
        <v>931</v>
      </c>
      <c r="E245" t="s">
        <v>906</v>
      </c>
      <c r="F245" t="s">
        <v>932</v>
      </c>
      <c r="G245" t="s">
        <v>21</v>
      </c>
      <c r="H245" t="s">
        <v>30</v>
      </c>
      <c r="I245" t="s">
        <v>23</v>
      </c>
      <c r="J245" t="s">
        <v>1183</v>
      </c>
      <c r="K245" t="s">
        <v>4</v>
      </c>
      <c r="L245" t="s">
        <v>204</v>
      </c>
      <c r="M245" t="s">
        <v>933</v>
      </c>
      <c r="N245" t="s">
        <v>26</v>
      </c>
    </row>
    <row r="246" spans="1:16" x14ac:dyDescent="0.25">
      <c r="A246">
        <v>231</v>
      </c>
      <c r="B246" t="s">
        <v>934</v>
      </c>
      <c r="C246" t="s">
        <v>42</v>
      </c>
      <c r="D246" t="s">
        <v>935</v>
      </c>
      <c r="E246" t="s">
        <v>936</v>
      </c>
      <c r="F246" t="s">
        <v>937</v>
      </c>
      <c r="G246" t="s">
        <v>21</v>
      </c>
      <c r="H246" t="s">
        <v>30</v>
      </c>
      <c r="I246" t="s">
        <v>23</v>
      </c>
      <c r="J246">
        <v>15</v>
      </c>
      <c r="K246" t="s">
        <v>4</v>
      </c>
      <c r="L246" t="s">
        <v>24</v>
      </c>
      <c r="M246" t="s">
        <v>264</v>
      </c>
      <c r="N246" t="s">
        <v>26</v>
      </c>
      <c r="O246">
        <v>0.8</v>
      </c>
      <c r="P246">
        <v>0.77</v>
      </c>
    </row>
    <row r="247" spans="1:16" x14ac:dyDescent="0.25">
      <c r="A247">
        <v>230</v>
      </c>
      <c r="B247" t="s">
        <v>938</v>
      </c>
      <c r="C247" t="s">
        <v>42</v>
      </c>
      <c r="D247" t="s">
        <v>935</v>
      </c>
      <c r="E247" t="s">
        <v>935</v>
      </c>
      <c r="F247" t="s">
        <v>939</v>
      </c>
      <c r="G247" t="s">
        <v>35</v>
      </c>
      <c r="H247" t="s">
        <v>30</v>
      </c>
      <c r="I247" t="s">
        <v>6</v>
      </c>
      <c r="J247">
        <v>10</v>
      </c>
      <c r="K247" t="s">
        <v>4</v>
      </c>
      <c r="L247" t="s">
        <v>24</v>
      </c>
      <c r="M247" t="s">
        <v>264</v>
      </c>
      <c r="N247" t="s">
        <v>26</v>
      </c>
      <c r="O247">
        <v>0.8</v>
      </c>
      <c r="P247">
        <v>0.77</v>
      </c>
    </row>
    <row r="248" spans="1:16" x14ac:dyDescent="0.25">
      <c r="A248">
        <v>232</v>
      </c>
      <c r="B248" t="s">
        <v>940</v>
      </c>
      <c r="C248" t="s">
        <v>42</v>
      </c>
      <c r="D248" t="s">
        <v>935</v>
      </c>
      <c r="E248" t="s">
        <v>941</v>
      </c>
      <c r="F248" t="s">
        <v>942</v>
      </c>
      <c r="G248" t="s">
        <v>35</v>
      </c>
      <c r="H248" t="s">
        <v>30</v>
      </c>
      <c r="I248" t="s">
        <v>23</v>
      </c>
      <c r="J248">
        <v>30</v>
      </c>
      <c r="K248" t="s">
        <v>4</v>
      </c>
      <c r="L248" t="s">
        <v>24</v>
      </c>
      <c r="M248" t="s">
        <v>264</v>
      </c>
      <c r="N248" t="s">
        <v>26</v>
      </c>
      <c r="O248">
        <v>0.8</v>
      </c>
      <c r="P248">
        <v>0.77</v>
      </c>
    </row>
    <row r="249" spans="1:16" x14ac:dyDescent="0.25">
      <c r="A249">
        <v>233</v>
      </c>
      <c r="B249" t="s">
        <v>943</v>
      </c>
      <c r="C249" t="s">
        <v>42</v>
      </c>
      <c r="D249" t="s">
        <v>935</v>
      </c>
      <c r="E249" t="s">
        <v>944</v>
      </c>
      <c r="F249" t="s">
        <v>945</v>
      </c>
      <c r="G249" t="s">
        <v>40</v>
      </c>
      <c r="H249" t="s">
        <v>40</v>
      </c>
      <c r="I249" t="s">
        <v>40</v>
      </c>
      <c r="J249" t="s">
        <v>1183</v>
      </c>
      <c r="K249" t="s">
        <v>3</v>
      </c>
      <c r="L249" t="s">
        <v>24</v>
      </c>
      <c r="P249">
        <v>0.77</v>
      </c>
    </row>
    <row r="250" spans="1:16" x14ac:dyDescent="0.25">
      <c r="A250">
        <v>234</v>
      </c>
      <c r="B250" t="s">
        <v>946</v>
      </c>
      <c r="C250" t="s">
        <v>947</v>
      </c>
      <c r="D250" t="s">
        <v>948</v>
      </c>
      <c r="E250" t="s">
        <v>949</v>
      </c>
      <c r="F250" t="s">
        <v>950</v>
      </c>
      <c r="G250" t="s">
        <v>21</v>
      </c>
      <c r="H250" t="s">
        <v>30</v>
      </c>
      <c r="I250" t="s">
        <v>23</v>
      </c>
      <c r="J250" t="s">
        <v>1183</v>
      </c>
      <c r="K250" t="s">
        <v>4</v>
      </c>
      <c r="L250" t="s">
        <v>24</v>
      </c>
      <c r="M250" t="s">
        <v>264</v>
      </c>
      <c r="N250" t="s">
        <v>26</v>
      </c>
      <c r="O250">
        <v>0.5</v>
      </c>
      <c r="P250">
        <v>0.79</v>
      </c>
    </row>
    <row r="251" spans="1:16" x14ac:dyDescent="0.25">
      <c r="A251">
        <v>235</v>
      </c>
      <c r="B251" t="s">
        <v>951</v>
      </c>
      <c r="C251" t="s">
        <v>952</v>
      </c>
      <c r="D251" t="s">
        <v>953</v>
      </c>
      <c r="E251" t="s">
        <v>953</v>
      </c>
      <c r="F251" t="s">
        <v>954</v>
      </c>
      <c r="G251" t="s">
        <v>21</v>
      </c>
      <c r="H251" t="s">
        <v>30</v>
      </c>
      <c r="I251" t="s">
        <v>23</v>
      </c>
      <c r="J251">
        <v>15</v>
      </c>
      <c r="K251" t="s">
        <v>4</v>
      </c>
      <c r="L251" t="s">
        <v>24</v>
      </c>
      <c r="M251" t="s">
        <v>955</v>
      </c>
      <c r="N251" t="s">
        <v>26</v>
      </c>
      <c r="O251">
        <v>0.6</v>
      </c>
      <c r="P251">
        <v>0.79</v>
      </c>
    </row>
    <row r="252" spans="1:16" x14ac:dyDescent="0.25">
      <c r="A252">
        <v>236</v>
      </c>
      <c r="B252" t="s">
        <v>956</v>
      </c>
      <c r="C252" t="s">
        <v>956</v>
      </c>
      <c r="D252" t="s">
        <v>956</v>
      </c>
      <c r="E252" t="s">
        <v>956</v>
      </c>
      <c r="F252" t="s">
        <v>956</v>
      </c>
      <c r="G252" t="s">
        <v>40</v>
      </c>
      <c r="H252" t="s">
        <v>40</v>
      </c>
      <c r="I252" t="s">
        <v>40</v>
      </c>
      <c r="K252" t="s">
        <v>295</v>
      </c>
    </row>
    <row r="253" spans="1:16" x14ac:dyDescent="0.25">
      <c r="A253">
        <v>304</v>
      </c>
      <c r="B253" t="s">
        <v>957</v>
      </c>
      <c r="C253" t="s">
        <v>141</v>
      </c>
      <c r="D253" t="s">
        <v>958</v>
      </c>
      <c r="E253" t="s">
        <v>959</v>
      </c>
      <c r="F253" t="s">
        <v>960</v>
      </c>
      <c r="G253" t="s">
        <v>21</v>
      </c>
      <c r="H253" t="s">
        <v>30</v>
      </c>
      <c r="I253" t="s">
        <v>23</v>
      </c>
      <c r="J253" t="s">
        <v>1183</v>
      </c>
      <c r="K253" t="s">
        <v>4</v>
      </c>
      <c r="L253" t="s">
        <v>24</v>
      </c>
      <c r="N253" t="s">
        <v>26</v>
      </c>
    </row>
    <row r="254" spans="1:16" x14ac:dyDescent="0.25">
      <c r="A254">
        <v>86</v>
      </c>
      <c r="B254" t="s">
        <v>961</v>
      </c>
      <c r="C254" t="s">
        <v>962</v>
      </c>
      <c r="D254" t="s">
        <v>963</v>
      </c>
      <c r="E254" t="s">
        <v>964</v>
      </c>
      <c r="F254" t="s">
        <v>965</v>
      </c>
      <c r="G254" t="s">
        <v>21</v>
      </c>
      <c r="H254" t="s">
        <v>30</v>
      </c>
      <c r="I254" t="s">
        <v>23</v>
      </c>
      <c r="J254" t="s">
        <v>1183</v>
      </c>
      <c r="K254" t="s">
        <v>4</v>
      </c>
      <c r="L254" t="s">
        <v>24</v>
      </c>
      <c r="M254" t="s">
        <v>65</v>
      </c>
      <c r="N254" t="s">
        <v>26</v>
      </c>
      <c r="O254">
        <v>0.5</v>
      </c>
      <c r="P254">
        <v>0.79</v>
      </c>
    </row>
    <row r="255" spans="1:16" x14ac:dyDescent="0.25">
      <c r="A255">
        <v>87</v>
      </c>
      <c r="B255" t="s">
        <v>966</v>
      </c>
      <c r="C255" t="s">
        <v>962</v>
      </c>
      <c r="D255" t="s">
        <v>967</v>
      </c>
      <c r="E255" t="s">
        <v>968</v>
      </c>
      <c r="F255" t="s">
        <v>969</v>
      </c>
      <c r="G255" t="s">
        <v>40</v>
      </c>
      <c r="H255" t="s">
        <v>40</v>
      </c>
      <c r="I255" t="s">
        <v>40</v>
      </c>
      <c r="J255" t="s">
        <v>1183</v>
      </c>
      <c r="K255" t="s">
        <v>3</v>
      </c>
      <c r="L255" t="s">
        <v>24</v>
      </c>
      <c r="N255" t="s">
        <v>26</v>
      </c>
      <c r="P255">
        <v>0.7</v>
      </c>
    </row>
    <row r="256" spans="1:16" x14ac:dyDescent="0.25">
      <c r="A256">
        <v>240</v>
      </c>
      <c r="B256" t="s">
        <v>970</v>
      </c>
      <c r="C256" t="s">
        <v>321</v>
      </c>
      <c r="D256" t="s">
        <v>971</v>
      </c>
      <c r="E256" t="s">
        <v>972</v>
      </c>
      <c r="F256" t="s">
        <v>973</v>
      </c>
      <c r="G256" t="s">
        <v>21</v>
      </c>
      <c r="H256" t="s">
        <v>30</v>
      </c>
      <c r="I256" t="s">
        <v>23</v>
      </c>
      <c r="J256">
        <v>70</v>
      </c>
      <c r="K256" t="s">
        <v>4</v>
      </c>
      <c r="L256" t="s">
        <v>204</v>
      </c>
      <c r="M256" t="s">
        <v>974</v>
      </c>
      <c r="N256" t="s">
        <v>26</v>
      </c>
      <c r="O256">
        <v>0.71</v>
      </c>
      <c r="P256">
        <v>0.79</v>
      </c>
    </row>
    <row r="257" spans="1:16" x14ac:dyDescent="0.25">
      <c r="A257">
        <v>239</v>
      </c>
      <c r="B257" t="s">
        <v>975</v>
      </c>
      <c r="C257" t="s">
        <v>321</v>
      </c>
      <c r="D257" t="s">
        <v>971</v>
      </c>
      <c r="E257" t="s">
        <v>976</v>
      </c>
      <c r="F257" t="s">
        <v>977</v>
      </c>
      <c r="G257" t="s">
        <v>21</v>
      </c>
      <c r="H257" t="s">
        <v>30</v>
      </c>
      <c r="I257" t="s">
        <v>23</v>
      </c>
      <c r="J257">
        <v>50</v>
      </c>
      <c r="K257" t="s">
        <v>4</v>
      </c>
      <c r="L257" t="s">
        <v>204</v>
      </c>
      <c r="M257" t="s">
        <v>978</v>
      </c>
      <c r="N257" t="s">
        <v>26</v>
      </c>
      <c r="O257">
        <v>0.75</v>
      </c>
      <c r="P257">
        <v>0.79</v>
      </c>
    </row>
    <row r="258" spans="1:16" x14ac:dyDescent="0.25">
      <c r="A258">
        <v>244</v>
      </c>
      <c r="B258" t="s">
        <v>979</v>
      </c>
      <c r="C258" t="s">
        <v>321</v>
      </c>
      <c r="D258" t="s">
        <v>971</v>
      </c>
      <c r="E258" t="s">
        <v>980</v>
      </c>
      <c r="F258" t="s">
        <v>981</v>
      </c>
      <c r="G258" t="s">
        <v>35</v>
      </c>
      <c r="H258" t="s">
        <v>30</v>
      </c>
      <c r="I258" t="s">
        <v>6</v>
      </c>
      <c r="J258">
        <v>60</v>
      </c>
      <c r="K258" t="s">
        <v>4</v>
      </c>
      <c r="L258" t="s">
        <v>204</v>
      </c>
      <c r="M258" t="s">
        <v>122</v>
      </c>
      <c r="N258" t="s">
        <v>26</v>
      </c>
      <c r="O258">
        <v>0.72</v>
      </c>
      <c r="P258">
        <v>0.79</v>
      </c>
    </row>
    <row r="259" spans="1:16" x14ac:dyDescent="0.25">
      <c r="A259">
        <v>237</v>
      </c>
      <c r="B259" t="s">
        <v>982</v>
      </c>
      <c r="C259" t="s">
        <v>321</v>
      </c>
      <c r="D259" t="s">
        <v>971</v>
      </c>
      <c r="E259" t="s">
        <v>983</v>
      </c>
      <c r="F259" t="s">
        <v>984</v>
      </c>
      <c r="G259" t="s">
        <v>35</v>
      </c>
      <c r="H259" t="s">
        <v>30</v>
      </c>
      <c r="I259" t="s">
        <v>6</v>
      </c>
      <c r="J259">
        <v>30</v>
      </c>
      <c r="K259" t="s">
        <v>4</v>
      </c>
      <c r="L259" t="s">
        <v>204</v>
      </c>
      <c r="M259" t="s">
        <v>985</v>
      </c>
      <c r="N259" t="s">
        <v>26</v>
      </c>
      <c r="O259">
        <v>0.57999999999999996</v>
      </c>
      <c r="P259">
        <v>0.79</v>
      </c>
    </row>
    <row r="260" spans="1:16" x14ac:dyDescent="0.25">
      <c r="A260">
        <v>242</v>
      </c>
      <c r="B260" t="s">
        <v>986</v>
      </c>
      <c r="C260" t="s">
        <v>321</v>
      </c>
      <c r="D260" t="s">
        <v>971</v>
      </c>
      <c r="E260" t="s">
        <v>987</v>
      </c>
      <c r="F260" t="s">
        <v>988</v>
      </c>
      <c r="G260" t="s">
        <v>21</v>
      </c>
      <c r="H260" t="s">
        <v>30</v>
      </c>
      <c r="I260" t="s">
        <v>23</v>
      </c>
      <c r="J260">
        <v>50</v>
      </c>
      <c r="K260" t="s">
        <v>4</v>
      </c>
      <c r="L260" t="s">
        <v>204</v>
      </c>
      <c r="N260" t="s">
        <v>26</v>
      </c>
      <c r="O260">
        <v>0.78</v>
      </c>
      <c r="P260">
        <v>0.79</v>
      </c>
    </row>
    <row r="261" spans="1:16" x14ac:dyDescent="0.25">
      <c r="A261">
        <v>238</v>
      </c>
      <c r="B261" t="s">
        <v>989</v>
      </c>
      <c r="C261" t="s">
        <v>321</v>
      </c>
      <c r="D261" t="s">
        <v>971</v>
      </c>
      <c r="E261" t="s">
        <v>990</v>
      </c>
      <c r="F261" t="s">
        <v>991</v>
      </c>
      <c r="G261" t="s">
        <v>21</v>
      </c>
      <c r="H261" t="s">
        <v>30</v>
      </c>
      <c r="I261" t="s">
        <v>23</v>
      </c>
      <c r="J261">
        <v>60</v>
      </c>
      <c r="K261" t="s">
        <v>4</v>
      </c>
      <c r="L261" t="s">
        <v>204</v>
      </c>
      <c r="M261" t="s">
        <v>992</v>
      </c>
      <c r="N261" t="s">
        <v>26</v>
      </c>
      <c r="O261">
        <v>0.77</v>
      </c>
      <c r="P261">
        <v>0.79</v>
      </c>
    </row>
    <row r="262" spans="1:16" x14ac:dyDescent="0.25">
      <c r="A262">
        <v>241</v>
      </c>
      <c r="B262" t="s">
        <v>993</v>
      </c>
      <c r="C262" t="s">
        <v>321</v>
      </c>
      <c r="D262" t="s">
        <v>971</v>
      </c>
      <c r="E262" t="s">
        <v>994</v>
      </c>
      <c r="F262" t="s">
        <v>995</v>
      </c>
      <c r="G262" t="s">
        <v>35</v>
      </c>
      <c r="H262" t="s">
        <v>30</v>
      </c>
      <c r="I262" t="s">
        <v>6</v>
      </c>
      <c r="J262">
        <v>60</v>
      </c>
      <c r="K262" t="s">
        <v>4</v>
      </c>
      <c r="L262" t="s">
        <v>204</v>
      </c>
      <c r="N262" t="s">
        <v>26</v>
      </c>
      <c r="O262">
        <v>0.75</v>
      </c>
      <c r="P262">
        <v>0.79</v>
      </c>
    </row>
    <row r="263" spans="1:16" x14ac:dyDescent="0.25">
      <c r="A263">
        <v>243</v>
      </c>
      <c r="B263" t="s">
        <v>996</v>
      </c>
      <c r="C263" t="s">
        <v>321</v>
      </c>
      <c r="D263" t="s">
        <v>971</v>
      </c>
      <c r="E263" t="s">
        <v>997</v>
      </c>
      <c r="F263" t="s">
        <v>998</v>
      </c>
      <c r="G263" t="s">
        <v>40</v>
      </c>
      <c r="H263" t="s">
        <v>40</v>
      </c>
      <c r="I263" t="s">
        <v>40</v>
      </c>
      <c r="J263" t="s">
        <v>1183</v>
      </c>
      <c r="K263" t="s">
        <v>3</v>
      </c>
      <c r="L263" t="s">
        <v>204</v>
      </c>
      <c r="P263">
        <v>0.79</v>
      </c>
    </row>
    <row r="264" spans="1:16" x14ac:dyDescent="0.25">
      <c r="A264">
        <v>247</v>
      </c>
      <c r="B264" t="s">
        <v>999</v>
      </c>
      <c r="C264" t="s">
        <v>952</v>
      </c>
      <c r="D264" t="s">
        <v>1000</v>
      </c>
      <c r="E264" t="s">
        <v>1001</v>
      </c>
      <c r="F264" t="s">
        <v>1002</v>
      </c>
      <c r="G264" t="s">
        <v>40</v>
      </c>
      <c r="H264" t="s">
        <v>40</v>
      </c>
      <c r="I264" t="s">
        <v>40</v>
      </c>
      <c r="J264" t="s">
        <v>1183</v>
      </c>
      <c r="K264" t="s">
        <v>3</v>
      </c>
      <c r="L264" t="s">
        <v>24</v>
      </c>
      <c r="P264">
        <v>0.7</v>
      </c>
    </row>
    <row r="265" spans="1:16" x14ac:dyDescent="0.25">
      <c r="A265">
        <v>246</v>
      </c>
      <c r="B265" t="s">
        <v>1003</v>
      </c>
      <c r="C265" t="s">
        <v>952</v>
      </c>
      <c r="D265" t="s">
        <v>1000</v>
      </c>
      <c r="E265" t="s">
        <v>1000</v>
      </c>
      <c r="F265" t="s">
        <v>1004</v>
      </c>
      <c r="G265" t="s">
        <v>35</v>
      </c>
      <c r="H265" t="s">
        <v>30</v>
      </c>
      <c r="I265" t="s">
        <v>6</v>
      </c>
      <c r="J265">
        <v>20</v>
      </c>
      <c r="K265" t="s">
        <v>4</v>
      </c>
      <c r="L265" t="s">
        <v>24</v>
      </c>
      <c r="M265" t="s">
        <v>1005</v>
      </c>
      <c r="N265" t="s">
        <v>26</v>
      </c>
      <c r="O265">
        <v>0.8</v>
      </c>
      <c r="P265">
        <v>0.79</v>
      </c>
    </row>
    <row r="266" spans="1:16" x14ac:dyDescent="0.25">
      <c r="A266">
        <v>248</v>
      </c>
      <c r="B266" t="s">
        <v>1006</v>
      </c>
      <c r="C266" t="s">
        <v>1007</v>
      </c>
      <c r="D266" t="s">
        <v>1008</v>
      </c>
      <c r="E266" t="s">
        <v>1008</v>
      </c>
      <c r="F266" t="s">
        <v>1009</v>
      </c>
      <c r="G266" t="s">
        <v>21</v>
      </c>
      <c r="H266" t="s">
        <v>30</v>
      </c>
      <c r="I266" t="s">
        <v>23</v>
      </c>
      <c r="J266">
        <v>50</v>
      </c>
      <c r="K266" t="s">
        <v>4</v>
      </c>
      <c r="L266" t="s">
        <v>24</v>
      </c>
      <c r="M266" t="s">
        <v>264</v>
      </c>
      <c r="N266" t="s">
        <v>26</v>
      </c>
      <c r="O266">
        <v>0.45</v>
      </c>
      <c r="P266">
        <v>0.82</v>
      </c>
    </row>
    <row r="267" spans="1:16" x14ac:dyDescent="0.25">
      <c r="A267">
        <v>226</v>
      </c>
      <c r="B267" t="s">
        <v>1010</v>
      </c>
      <c r="C267" t="s">
        <v>200</v>
      </c>
      <c r="D267" t="s">
        <v>1011</v>
      </c>
      <c r="E267" t="s">
        <v>210</v>
      </c>
      <c r="F267" t="s">
        <v>211</v>
      </c>
      <c r="G267" t="s">
        <v>21</v>
      </c>
      <c r="H267" t="s">
        <v>30</v>
      </c>
      <c r="I267" t="s">
        <v>23</v>
      </c>
      <c r="J267">
        <v>90</v>
      </c>
      <c r="K267" t="s">
        <v>4</v>
      </c>
      <c r="L267" t="s">
        <v>204</v>
      </c>
      <c r="N267" t="s">
        <v>26</v>
      </c>
      <c r="O267">
        <v>0.7</v>
      </c>
      <c r="P267">
        <v>0.7</v>
      </c>
    </row>
    <row r="268" spans="1:16" x14ac:dyDescent="0.25">
      <c r="A268">
        <v>252</v>
      </c>
      <c r="B268" t="s">
        <v>1012</v>
      </c>
      <c r="C268" t="s">
        <v>1013</v>
      </c>
      <c r="D268" t="s">
        <v>1014</v>
      </c>
      <c r="E268" t="s">
        <v>1014</v>
      </c>
      <c r="F268" t="s">
        <v>1015</v>
      </c>
      <c r="G268" t="s">
        <v>21</v>
      </c>
      <c r="H268" t="s">
        <v>22</v>
      </c>
      <c r="I268" t="s">
        <v>23</v>
      </c>
      <c r="J268">
        <v>75</v>
      </c>
      <c r="K268" t="s">
        <v>4</v>
      </c>
      <c r="L268" t="s">
        <v>24</v>
      </c>
      <c r="M268" t="s">
        <v>191</v>
      </c>
      <c r="N268" t="s">
        <v>26</v>
      </c>
      <c r="O268">
        <v>0.49</v>
      </c>
      <c r="P268">
        <v>0.79</v>
      </c>
    </row>
    <row r="269" spans="1:16" x14ac:dyDescent="0.25">
      <c r="A269">
        <v>253</v>
      </c>
      <c r="B269" t="s">
        <v>1016</v>
      </c>
      <c r="C269" t="s">
        <v>593</v>
      </c>
      <c r="D269" t="s">
        <v>1017</v>
      </c>
      <c r="E269" t="s">
        <v>1018</v>
      </c>
      <c r="F269" t="s">
        <v>1019</v>
      </c>
      <c r="G269" t="s">
        <v>35</v>
      </c>
      <c r="H269" t="s">
        <v>30</v>
      </c>
      <c r="I269" t="s">
        <v>23</v>
      </c>
      <c r="J269">
        <v>100</v>
      </c>
      <c r="K269" t="s">
        <v>4</v>
      </c>
      <c r="L269" t="s">
        <v>24</v>
      </c>
      <c r="M269" t="s">
        <v>264</v>
      </c>
      <c r="N269" t="s">
        <v>26</v>
      </c>
      <c r="O269">
        <v>0.77</v>
      </c>
      <c r="P269">
        <v>0.9</v>
      </c>
    </row>
    <row r="270" spans="1:16" x14ac:dyDescent="0.25">
      <c r="A270">
        <v>254</v>
      </c>
      <c r="B270" t="s">
        <v>1020</v>
      </c>
      <c r="C270" t="s">
        <v>1021</v>
      </c>
      <c r="D270" t="s">
        <v>1021</v>
      </c>
      <c r="E270" t="s">
        <v>1022</v>
      </c>
      <c r="F270" t="s">
        <v>1022</v>
      </c>
      <c r="G270" t="s">
        <v>40</v>
      </c>
      <c r="H270" t="s">
        <v>40</v>
      </c>
      <c r="I270" t="s">
        <v>40</v>
      </c>
      <c r="J270" t="s">
        <v>1183</v>
      </c>
      <c r="K270" t="s">
        <v>295</v>
      </c>
    </row>
    <row r="271" spans="1:16" x14ac:dyDescent="0.25">
      <c r="A271">
        <v>285</v>
      </c>
      <c r="B271" t="s">
        <v>1023</v>
      </c>
      <c r="C271" t="s">
        <v>482</v>
      </c>
      <c r="D271" t="s">
        <v>1024</v>
      </c>
      <c r="E271" t="s">
        <v>1025</v>
      </c>
      <c r="F271" t="s">
        <v>1026</v>
      </c>
      <c r="G271" t="s">
        <v>21</v>
      </c>
      <c r="H271" t="s">
        <v>30</v>
      </c>
      <c r="I271" t="s">
        <v>23</v>
      </c>
      <c r="J271">
        <v>10</v>
      </c>
      <c r="K271" t="s">
        <v>4</v>
      </c>
      <c r="L271" t="s">
        <v>24</v>
      </c>
      <c r="N271" t="s">
        <v>26</v>
      </c>
    </row>
    <row r="272" spans="1:16" x14ac:dyDescent="0.25">
      <c r="A272">
        <v>176</v>
      </c>
      <c r="B272" t="s">
        <v>1027</v>
      </c>
      <c r="C272" t="s">
        <v>482</v>
      </c>
      <c r="D272" t="s">
        <v>1024</v>
      </c>
      <c r="E272" t="s">
        <v>1028</v>
      </c>
      <c r="F272" t="s">
        <v>1029</v>
      </c>
      <c r="G272" t="s">
        <v>35</v>
      </c>
      <c r="H272" t="s">
        <v>30</v>
      </c>
      <c r="I272" t="s">
        <v>23</v>
      </c>
      <c r="J272">
        <v>15</v>
      </c>
      <c r="K272" t="s">
        <v>4</v>
      </c>
      <c r="L272" t="s">
        <v>24</v>
      </c>
      <c r="M272" t="s">
        <v>1030</v>
      </c>
      <c r="N272" t="s">
        <v>26</v>
      </c>
      <c r="O272">
        <v>0.6</v>
      </c>
      <c r="P272">
        <v>0.79</v>
      </c>
    </row>
    <row r="273" spans="1:16" x14ac:dyDescent="0.25">
      <c r="A273">
        <v>255</v>
      </c>
      <c r="B273" t="s">
        <v>1031</v>
      </c>
      <c r="C273" t="s">
        <v>482</v>
      </c>
      <c r="D273" t="s">
        <v>1024</v>
      </c>
      <c r="E273" t="s">
        <v>1028</v>
      </c>
      <c r="F273" t="s">
        <v>1032</v>
      </c>
      <c r="G273" t="s">
        <v>40</v>
      </c>
      <c r="H273" t="s">
        <v>40</v>
      </c>
      <c r="I273" t="s">
        <v>40</v>
      </c>
      <c r="J273" t="s">
        <v>1183</v>
      </c>
      <c r="K273" t="s">
        <v>3</v>
      </c>
      <c r="L273" t="s">
        <v>24</v>
      </c>
      <c r="P273">
        <v>0.7</v>
      </c>
    </row>
    <row r="274" spans="1:16" x14ac:dyDescent="0.25">
      <c r="A274">
        <v>68</v>
      </c>
      <c r="B274" t="s">
        <v>1033</v>
      </c>
      <c r="C274" t="s">
        <v>522</v>
      </c>
      <c r="D274" t="s">
        <v>1034</v>
      </c>
      <c r="E274" t="s">
        <v>1035</v>
      </c>
      <c r="F274" t="s">
        <v>1036</v>
      </c>
      <c r="G274" t="s">
        <v>21</v>
      </c>
      <c r="H274" t="s">
        <v>22</v>
      </c>
      <c r="I274" t="s">
        <v>23</v>
      </c>
      <c r="J274">
        <v>10</v>
      </c>
      <c r="K274" t="s">
        <v>4</v>
      </c>
      <c r="L274" t="s">
        <v>24</v>
      </c>
      <c r="M274" t="s">
        <v>1037</v>
      </c>
      <c r="N274" t="s">
        <v>26</v>
      </c>
      <c r="O274">
        <v>0.7</v>
      </c>
      <c r="P274">
        <v>0.79</v>
      </c>
    </row>
    <row r="275" spans="1:16" x14ac:dyDescent="0.25">
      <c r="A275">
        <v>36</v>
      </c>
      <c r="B275" t="s">
        <v>1038</v>
      </c>
      <c r="C275" t="s">
        <v>450</v>
      </c>
      <c r="D275" t="s">
        <v>1039</v>
      </c>
      <c r="E275" t="s">
        <v>1040</v>
      </c>
      <c r="F275" t="s">
        <v>1041</v>
      </c>
      <c r="G275" t="s">
        <v>35</v>
      </c>
      <c r="H275" t="s">
        <v>30</v>
      </c>
      <c r="I275" t="s">
        <v>6</v>
      </c>
      <c r="J275">
        <v>75</v>
      </c>
      <c r="K275" t="s">
        <v>4</v>
      </c>
      <c r="L275" t="s">
        <v>24</v>
      </c>
      <c r="M275" t="s">
        <v>99</v>
      </c>
      <c r="N275" t="s">
        <v>26</v>
      </c>
      <c r="O275">
        <v>0.63</v>
      </c>
      <c r="P275">
        <v>0.91</v>
      </c>
    </row>
    <row r="276" spans="1:16" x14ac:dyDescent="0.25">
      <c r="A276">
        <v>310</v>
      </c>
      <c r="B276" t="s">
        <v>1042</v>
      </c>
      <c r="C276" t="s">
        <v>450</v>
      </c>
      <c r="D276" t="s">
        <v>1039</v>
      </c>
      <c r="E276" t="s">
        <v>1043</v>
      </c>
      <c r="F276" t="s">
        <v>1044</v>
      </c>
      <c r="G276" t="s">
        <v>21</v>
      </c>
      <c r="H276" t="s">
        <v>30</v>
      </c>
      <c r="I276" t="s">
        <v>23</v>
      </c>
      <c r="J276" t="s">
        <v>1183</v>
      </c>
      <c r="K276" t="s">
        <v>4</v>
      </c>
      <c r="L276" t="s">
        <v>24</v>
      </c>
      <c r="M276" t="s">
        <v>307</v>
      </c>
      <c r="N276" t="s">
        <v>26</v>
      </c>
    </row>
    <row r="277" spans="1:16" x14ac:dyDescent="0.25">
      <c r="A277">
        <v>256</v>
      </c>
      <c r="B277" t="s">
        <v>1045</v>
      </c>
      <c r="C277" t="s">
        <v>450</v>
      </c>
      <c r="D277" t="s">
        <v>1039</v>
      </c>
      <c r="E277" t="s">
        <v>1046</v>
      </c>
      <c r="F277" t="s">
        <v>1047</v>
      </c>
      <c r="G277" t="s">
        <v>35</v>
      </c>
      <c r="H277" t="s">
        <v>30</v>
      </c>
      <c r="I277" t="s">
        <v>6</v>
      </c>
      <c r="J277">
        <v>100</v>
      </c>
      <c r="K277" t="s">
        <v>4</v>
      </c>
      <c r="L277" t="s">
        <v>24</v>
      </c>
      <c r="M277" t="s">
        <v>1048</v>
      </c>
      <c r="N277" t="s">
        <v>26</v>
      </c>
      <c r="O277">
        <v>0.67</v>
      </c>
      <c r="P277">
        <v>0.91</v>
      </c>
    </row>
    <row r="278" spans="1:16" x14ac:dyDescent="0.25">
      <c r="A278">
        <v>257</v>
      </c>
      <c r="B278" t="s">
        <v>1049</v>
      </c>
      <c r="C278" t="s">
        <v>450</v>
      </c>
      <c r="D278" t="s">
        <v>1039</v>
      </c>
      <c r="E278" t="s">
        <v>1050</v>
      </c>
      <c r="F278" t="s">
        <v>1051</v>
      </c>
      <c r="G278" t="s">
        <v>21</v>
      </c>
      <c r="H278" t="s">
        <v>30</v>
      </c>
      <c r="I278" t="s">
        <v>23</v>
      </c>
      <c r="J278">
        <v>70</v>
      </c>
      <c r="K278" t="s">
        <v>4</v>
      </c>
      <c r="L278" t="s">
        <v>24</v>
      </c>
      <c r="M278" t="s">
        <v>1052</v>
      </c>
      <c r="N278" t="s">
        <v>26</v>
      </c>
      <c r="O278">
        <v>0.7</v>
      </c>
      <c r="P278">
        <v>0.91</v>
      </c>
    </row>
    <row r="279" spans="1:16" x14ac:dyDescent="0.25">
      <c r="A279">
        <v>258</v>
      </c>
      <c r="B279" t="s">
        <v>1053</v>
      </c>
      <c r="C279" t="s">
        <v>450</v>
      </c>
      <c r="D279" t="s">
        <v>1039</v>
      </c>
      <c r="E279" t="s">
        <v>1054</v>
      </c>
      <c r="F279" t="s">
        <v>1055</v>
      </c>
      <c r="G279" t="s">
        <v>40</v>
      </c>
      <c r="H279" t="s">
        <v>40</v>
      </c>
      <c r="I279" t="s">
        <v>40</v>
      </c>
      <c r="J279" t="s">
        <v>1183</v>
      </c>
      <c r="K279" t="s">
        <v>3</v>
      </c>
      <c r="L279" t="s">
        <v>24</v>
      </c>
      <c r="P279">
        <v>0.91</v>
      </c>
    </row>
    <row r="280" spans="1:16" x14ac:dyDescent="0.25">
      <c r="A280">
        <v>271</v>
      </c>
      <c r="B280" t="s">
        <v>1056</v>
      </c>
      <c r="C280" t="s">
        <v>868</v>
      </c>
      <c r="D280" t="s">
        <v>1057</v>
      </c>
      <c r="E280" t="s">
        <v>1058</v>
      </c>
      <c r="F280" t="s">
        <v>1059</v>
      </c>
      <c r="G280" t="s">
        <v>21</v>
      </c>
      <c r="H280" t="s">
        <v>30</v>
      </c>
      <c r="I280" t="s">
        <v>23</v>
      </c>
      <c r="J280">
        <v>100</v>
      </c>
      <c r="K280" t="s">
        <v>4</v>
      </c>
      <c r="L280" t="s">
        <v>24</v>
      </c>
      <c r="M280" t="s">
        <v>65</v>
      </c>
      <c r="N280" t="s">
        <v>26</v>
      </c>
      <c r="O280">
        <v>0.45</v>
      </c>
      <c r="P280">
        <v>0.79</v>
      </c>
    </row>
    <row r="281" spans="1:16" x14ac:dyDescent="0.25">
      <c r="A281">
        <v>265</v>
      </c>
      <c r="B281" t="s">
        <v>1060</v>
      </c>
      <c r="C281" t="s">
        <v>868</v>
      </c>
      <c r="D281" t="s">
        <v>1057</v>
      </c>
      <c r="E281" t="s">
        <v>1061</v>
      </c>
      <c r="F281" t="s">
        <v>1062</v>
      </c>
      <c r="G281" t="s">
        <v>21</v>
      </c>
      <c r="H281" t="s">
        <v>30</v>
      </c>
      <c r="I281" t="s">
        <v>6</v>
      </c>
      <c r="J281" t="s">
        <v>1183</v>
      </c>
      <c r="K281" t="s">
        <v>4</v>
      </c>
      <c r="L281" t="s">
        <v>24</v>
      </c>
      <c r="N281" t="s">
        <v>26</v>
      </c>
      <c r="O281">
        <v>0.35</v>
      </c>
      <c r="P281">
        <v>0.79</v>
      </c>
    </row>
    <row r="282" spans="1:16" x14ac:dyDescent="0.25">
      <c r="A282">
        <v>270</v>
      </c>
      <c r="B282" t="s">
        <v>1063</v>
      </c>
      <c r="C282" t="s">
        <v>868</v>
      </c>
      <c r="D282" t="s">
        <v>1057</v>
      </c>
      <c r="E282" t="s">
        <v>1064</v>
      </c>
      <c r="F282" t="s">
        <v>1065</v>
      </c>
      <c r="G282" t="s">
        <v>21</v>
      </c>
      <c r="H282" t="s">
        <v>30</v>
      </c>
      <c r="I282" t="s">
        <v>23</v>
      </c>
      <c r="J282">
        <v>100</v>
      </c>
      <c r="K282" t="s">
        <v>4</v>
      </c>
      <c r="L282" t="s">
        <v>24</v>
      </c>
      <c r="N282" t="s">
        <v>26</v>
      </c>
      <c r="O282">
        <v>0.35</v>
      </c>
      <c r="P282">
        <v>0.79</v>
      </c>
    </row>
    <row r="283" spans="1:16" x14ac:dyDescent="0.25">
      <c r="A283">
        <v>315</v>
      </c>
      <c r="B283" t="s">
        <v>1066</v>
      </c>
      <c r="C283" t="s">
        <v>868</v>
      </c>
      <c r="D283" t="s">
        <v>1057</v>
      </c>
      <c r="E283" t="s">
        <v>1067</v>
      </c>
      <c r="F283" t="s">
        <v>1068</v>
      </c>
      <c r="G283" t="s">
        <v>35</v>
      </c>
      <c r="H283" t="s">
        <v>30</v>
      </c>
      <c r="I283" t="s">
        <v>23</v>
      </c>
      <c r="J283" t="s">
        <v>1183</v>
      </c>
      <c r="K283" t="s">
        <v>4</v>
      </c>
      <c r="L283" t="s">
        <v>24</v>
      </c>
      <c r="M283" t="s">
        <v>264</v>
      </c>
      <c r="N283" t="s">
        <v>26</v>
      </c>
    </row>
    <row r="284" spans="1:16" x14ac:dyDescent="0.25">
      <c r="A284">
        <v>264</v>
      </c>
      <c r="B284" t="s">
        <v>1069</v>
      </c>
      <c r="C284" t="s">
        <v>868</v>
      </c>
      <c r="D284" t="s">
        <v>1057</v>
      </c>
      <c r="E284" t="s">
        <v>1070</v>
      </c>
      <c r="F284" t="s">
        <v>1071</v>
      </c>
      <c r="G284" t="s">
        <v>21</v>
      </c>
      <c r="H284" t="s">
        <v>30</v>
      </c>
      <c r="I284" t="s">
        <v>23</v>
      </c>
      <c r="J284" t="s">
        <v>1183</v>
      </c>
      <c r="K284" t="s">
        <v>4</v>
      </c>
      <c r="L284" t="s">
        <v>24</v>
      </c>
      <c r="N284" t="s">
        <v>26</v>
      </c>
      <c r="O284">
        <v>0.45</v>
      </c>
      <c r="P284">
        <v>0.79</v>
      </c>
    </row>
    <row r="285" spans="1:16" x14ac:dyDescent="0.25">
      <c r="A285">
        <v>266</v>
      </c>
      <c r="B285" t="s">
        <v>1072</v>
      </c>
      <c r="C285" t="s">
        <v>868</v>
      </c>
      <c r="D285" t="s">
        <v>1057</v>
      </c>
      <c r="E285" t="s">
        <v>1073</v>
      </c>
      <c r="F285" t="s">
        <v>1074</v>
      </c>
      <c r="G285" t="s">
        <v>35</v>
      </c>
      <c r="H285" t="s">
        <v>30</v>
      </c>
      <c r="I285" t="s">
        <v>6</v>
      </c>
      <c r="J285">
        <v>5</v>
      </c>
      <c r="K285" t="s">
        <v>4</v>
      </c>
      <c r="L285" t="s">
        <v>24</v>
      </c>
      <c r="M285" t="s">
        <v>1075</v>
      </c>
      <c r="N285" t="s">
        <v>26</v>
      </c>
      <c r="O285">
        <v>0.4</v>
      </c>
      <c r="P285">
        <v>0.79</v>
      </c>
    </row>
    <row r="286" spans="1:16" x14ac:dyDescent="0.25">
      <c r="A286">
        <v>263</v>
      </c>
      <c r="B286" t="s">
        <v>1076</v>
      </c>
      <c r="C286" t="s">
        <v>868</v>
      </c>
      <c r="D286" t="s">
        <v>1057</v>
      </c>
      <c r="E286" t="s">
        <v>1077</v>
      </c>
      <c r="F286" t="s">
        <v>1078</v>
      </c>
      <c r="G286" t="s">
        <v>21</v>
      </c>
      <c r="H286" t="s">
        <v>30</v>
      </c>
      <c r="I286" t="s">
        <v>23</v>
      </c>
      <c r="J286">
        <v>100</v>
      </c>
      <c r="K286" t="s">
        <v>4</v>
      </c>
      <c r="L286" t="s">
        <v>24</v>
      </c>
      <c r="N286" t="s">
        <v>26</v>
      </c>
      <c r="O286">
        <v>0.35</v>
      </c>
      <c r="P286">
        <v>0.79</v>
      </c>
    </row>
    <row r="287" spans="1:16" x14ac:dyDescent="0.25">
      <c r="A287">
        <v>260</v>
      </c>
      <c r="B287" t="s">
        <v>1079</v>
      </c>
      <c r="C287" t="s">
        <v>868</v>
      </c>
      <c r="D287" t="s">
        <v>1057</v>
      </c>
      <c r="E287" t="s">
        <v>1080</v>
      </c>
      <c r="F287" t="s">
        <v>1081</v>
      </c>
      <c r="G287" t="s">
        <v>21</v>
      </c>
      <c r="H287" t="s">
        <v>30</v>
      </c>
      <c r="I287" t="s">
        <v>23</v>
      </c>
      <c r="J287" t="s">
        <v>1183</v>
      </c>
      <c r="K287" t="s">
        <v>4</v>
      </c>
      <c r="L287" t="s">
        <v>24</v>
      </c>
      <c r="N287" t="s">
        <v>26</v>
      </c>
      <c r="O287">
        <v>0.35</v>
      </c>
      <c r="P287">
        <v>0.79</v>
      </c>
    </row>
    <row r="288" spans="1:16" x14ac:dyDescent="0.25">
      <c r="A288">
        <v>267</v>
      </c>
      <c r="B288" t="s">
        <v>1082</v>
      </c>
      <c r="C288" t="s">
        <v>868</v>
      </c>
      <c r="D288" t="s">
        <v>1057</v>
      </c>
      <c r="E288" t="s">
        <v>1083</v>
      </c>
      <c r="F288" t="s">
        <v>1084</v>
      </c>
      <c r="G288" t="s">
        <v>35</v>
      </c>
      <c r="H288" t="s">
        <v>30</v>
      </c>
      <c r="I288" t="s">
        <v>23</v>
      </c>
      <c r="J288" t="s">
        <v>1183</v>
      </c>
      <c r="K288" t="s">
        <v>4</v>
      </c>
      <c r="L288" t="s">
        <v>24</v>
      </c>
      <c r="N288" t="s">
        <v>26</v>
      </c>
      <c r="O288">
        <v>0.35</v>
      </c>
      <c r="P288">
        <v>0.79</v>
      </c>
    </row>
    <row r="289" spans="1:16" x14ac:dyDescent="0.25">
      <c r="A289">
        <v>262</v>
      </c>
      <c r="B289" t="s">
        <v>1085</v>
      </c>
      <c r="C289" t="s">
        <v>868</v>
      </c>
      <c r="D289" t="s">
        <v>1057</v>
      </c>
      <c r="E289" t="s">
        <v>1086</v>
      </c>
      <c r="F289" t="s">
        <v>1087</v>
      </c>
      <c r="G289" t="s">
        <v>21</v>
      </c>
      <c r="H289" t="s">
        <v>30</v>
      </c>
      <c r="I289" t="s">
        <v>23</v>
      </c>
      <c r="J289" t="s">
        <v>1183</v>
      </c>
      <c r="K289" t="s">
        <v>4</v>
      </c>
      <c r="L289" t="s">
        <v>24</v>
      </c>
      <c r="M289" t="s">
        <v>1088</v>
      </c>
      <c r="N289" t="s">
        <v>26</v>
      </c>
      <c r="O289">
        <v>0.54</v>
      </c>
      <c r="P289">
        <v>0.79</v>
      </c>
    </row>
    <row r="290" spans="1:16" x14ac:dyDescent="0.25">
      <c r="A290">
        <v>261</v>
      </c>
      <c r="B290" t="s">
        <v>1089</v>
      </c>
      <c r="C290" t="s">
        <v>868</v>
      </c>
      <c r="D290" t="s">
        <v>1057</v>
      </c>
      <c r="E290" t="s">
        <v>1090</v>
      </c>
      <c r="F290" t="s">
        <v>1091</v>
      </c>
      <c r="G290" t="s">
        <v>35</v>
      </c>
      <c r="H290" t="s">
        <v>30</v>
      </c>
      <c r="I290" t="s">
        <v>6</v>
      </c>
      <c r="J290">
        <v>100</v>
      </c>
      <c r="K290" t="s">
        <v>4</v>
      </c>
      <c r="L290" t="s">
        <v>24</v>
      </c>
      <c r="N290" t="s">
        <v>26</v>
      </c>
      <c r="O290">
        <v>0.47</v>
      </c>
      <c r="P290">
        <v>0.79</v>
      </c>
    </row>
    <row r="291" spans="1:16" x14ac:dyDescent="0.25">
      <c r="A291">
        <v>317</v>
      </c>
      <c r="B291" t="s">
        <v>1092</v>
      </c>
      <c r="C291" t="s">
        <v>868</v>
      </c>
      <c r="D291" t="s">
        <v>1057</v>
      </c>
      <c r="E291" t="s">
        <v>1093</v>
      </c>
      <c r="F291" t="s">
        <v>1094</v>
      </c>
      <c r="G291" t="s">
        <v>35</v>
      </c>
      <c r="H291" t="s">
        <v>30</v>
      </c>
      <c r="I291" t="s">
        <v>23</v>
      </c>
      <c r="J291" t="s">
        <v>1183</v>
      </c>
      <c r="K291" t="s">
        <v>4</v>
      </c>
      <c r="L291" t="s">
        <v>24</v>
      </c>
      <c r="M291" t="s">
        <v>264</v>
      </c>
      <c r="N291" t="s">
        <v>26</v>
      </c>
    </row>
    <row r="292" spans="1:16" x14ac:dyDescent="0.25">
      <c r="A292">
        <v>316</v>
      </c>
      <c r="B292" t="s">
        <v>1095</v>
      </c>
      <c r="C292" t="s">
        <v>868</v>
      </c>
      <c r="D292" t="s">
        <v>1057</v>
      </c>
      <c r="E292" t="s">
        <v>1096</v>
      </c>
      <c r="F292" t="s">
        <v>1097</v>
      </c>
      <c r="G292" t="s">
        <v>21</v>
      </c>
      <c r="H292" t="s">
        <v>30</v>
      </c>
      <c r="I292" t="s">
        <v>23</v>
      </c>
      <c r="J292" t="s">
        <v>1183</v>
      </c>
      <c r="K292" t="s">
        <v>4</v>
      </c>
      <c r="L292" t="s">
        <v>24</v>
      </c>
      <c r="M292" t="s">
        <v>264</v>
      </c>
      <c r="N292" t="s">
        <v>26</v>
      </c>
    </row>
    <row r="293" spans="1:16" x14ac:dyDescent="0.25">
      <c r="A293">
        <v>269</v>
      </c>
      <c r="B293" t="s">
        <v>1098</v>
      </c>
      <c r="C293" t="s">
        <v>868</v>
      </c>
      <c r="D293" t="s">
        <v>1057</v>
      </c>
      <c r="E293" t="s">
        <v>1099</v>
      </c>
      <c r="F293" t="s">
        <v>1100</v>
      </c>
      <c r="G293" t="s">
        <v>40</v>
      </c>
      <c r="H293" t="s">
        <v>40</v>
      </c>
      <c r="I293" t="s">
        <v>40</v>
      </c>
      <c r="J293" t="s">
        <v>1183</v>
      </c>
      <c r="K293" t="s">
        <v>3</v>
      </c>
      <c r="L293" t="s">
        <v>24</v>
      </c>
      <c r="P293">
        <v>0.79</v>
      </c>
    </row>
    <row r="294" spans="1:16" x14ac:dyDescent="0.25">
      <c r="A294">
        <v>272</v>
      </c>
      <c r="B294" t="s">
        <v>1101</v>
      </c>
      <c r="C294" t="s">
        <v>450</v>
      </c>
      <c r="D294" t="s">
        <v>1102</v>
      </c>
      <c r="E294" t="s">
        <v>1102</v>
      </c>
      <c r="F294" t="s">
        <v>1103</v>
      </c>
      <c r="G294" t="s">
        <v>21</v>
      </c>
      <c r="H294" t="s">
        <v>30</v>
      </c>
      <c r="I294" t="s">
        <v>23</v>
      </c>
      <c r="J294" t="s">
        <v>1183</v>
      </c>
      <c r="K294" t="s">
        <v>4</v>
      </c>
      <c r="L294" t="s">
        <v>24</v>
      </c>
      <c r="N294" t="s">
        <v>26</v>
      </c>
      <c r="O294">
        <v>0.6</v>
      </c>
      <c r="P294">
        <v>0.79</v>
      </c>
    </row>
    <row r="295" spans="1:16" x14ac:dyDescent="0.25">
      <c r="A295">
        <v>108</v>
      </c>
      <c r="B295" t="s">
        <v>1104</v>
      </c>
      <c r="C295" t="s">
        <v>1007</v>
      </c>
      <c r="D295" t="s">
        <v>1105</v>
      </c>
      <c r="E295" t="s">
        <v>1105</v>
      </c>
      <c r="F295" t="s">
        <v>1106</v>
      </c>
      <c r="G295" t="s">
        <v>35</v>
      </c>
      <c r="H295" t="s">
        <v>30</v>
      </c>
      <c r="I295" t="s">
        <v>23</v>
      </c>
      <c r="J295">
        <v>15</v>
      </c>
      <c r="K295" t="s">
        <v>4</v>
      </c>
      <c r="L295" t="s">
        <v>24</v>
      </c>
      <c r="M295" t="s">
        <v>264</v>
      </c>
      <c r="N295" t="s">
        <v>26</v>
      </c>
      <c r="O295">
        <v>0.7</v>
      </c>
      <c r="P295">
        <v>0.79</v>
      </c>
    </row>
    <row r="296" spans="1:16" x14ac:dyDescent="0.25">
      <c r="A296">
        <v>274</v>
      </c>
      <c r="B296" t="s">
        <v>1107</v>
      </c>
      <c r="C296" t="s">
        <v>141</v>
      </c>
      <c r="D296" t="s">
        <v>1108</v>
      </c>
      <c r="E296" t="s">
        <v>1109</v>
      </c>
      <c r="F296" t="s">
        <v>1110</v>
      </c>
      <c r="G296" t="s">
        <v>21</v>
      </c>
      <c r="H296" t="s">
        <v>30</v>
      </c>
      <c r="I296" t="s">
        <v>23</v>
      </c>
      <c r="J296">
        <v>15</v>
      </c>
      <c r="K296" t="s">
        <v>4</v>
      </c>
      <c r="L296" t="s">
        <v>24</v>
      </c>
      <c r="N296" t="s">
        <v>26</v>
      </c>
      <c r="O296">
        <v>0.7</v>
      </c>
      <c r="P296">
        <v>0.79</v>
      </c>
    </row>
    <row r="297" spans="1:16" x14ac:dyDescent="0.25">
      <c r="A297">
        <v>276</v>
      </c>
      <c r="B297" t="s">
        <v>1111</v>
      </c>
      <c r="C297" t="s">
        <v>1112</v>
      </c>
      <c r="D297" t="s">
        <v>1113</v>
      </c>
      <c r="E297" t="s">
        <v>1114</v>
      </c>
      <c r="F297" t="s">
        <v>1115</v>
      </c>
      <c r="G297" t="s">
        <v>21</v>
      </c>
      <c r="H297" t="s">
        <v>30</v>
      </c>
      <c r="I297" t="s">
        <v>23</v>
      </c>
      <c r="J297">
        <v>25</v>
      </c>
      <c r="K297" t="s">
        <v>4</v>
      </c>
      <c r="L297" t="s">
        <v>204</v>
      </c>
      <c r="N297" t="s">
        <v>26</v>
      </c>
      <c r="O297">
        <v>0.6</v>
      </c>
      <c r="P297">
        <v>0.79</v>
      </c>
    </row>
    <row r="298" spans="1:16" x14ac:dyDescent="0.25">
      <c r="A298">
        <v>275</v>
      </c>
      <c r="B298" t="s">
        <v>1116</v>
      </c>
      <c r="C298" t="s">
        <v>1112</v>
      </c>
      <c r="D298" t="s">
        <v>1113</v>
      </c>
      <c r="E298" t="s">
        <v>1117</v>
      </c>
      <c r="F298" t="s">
        <v>1118</v>
      </c>
      <c r="G298" t="s">
        <v>35</v>
      </c>
      <c r="H298" t="s">
        <v>30</v>
      </c>
      <c r="I298" t="s">
        <v>23</v>
      </c>
      <c r="J298">
        <v>25</v>
      </c>
      <c r="K298" t="s">
        <v>4</v>
      </c>
      <c r="L298" t="s">
        <v>204</v>
      </c>
      <c r="N298" t="s">
        <v>26</v>
      </c>
      <c r="O298">
        <v>0.7</v>
      </c>
      <c r="P298">
        <v>0.79</v>
      </c>
    </row>
    <row r="299" spans="1:16" x14ac:dyDescent="0.25">
      <c r="A299">
        <v>277</v>
      </c>
      <c r="B299" t="s">
        <v>1119</v>
      </c>
      <c r="C299" t="s">
        <v>1112</v>
      </c>
      <c r="D299" t="s">
        <v>1113</v>
      </c>
      <c r="E299" t="s">
        <v>1120</v>
      </c>
      <c r="F299" t="s">
        <v>1121</v>
      </c>
      <c r="G299" t="s">
        <v>21</v>
      </c>
      <c r="H299" t="s">
        <v>30</v>
      </c>
      <c r="I299" t="s">
        <v>23</v>
      </c>
      <c r="J299">
        <v>25</v>
      </c>
      <c r="K299" t="s">
        <v>4</v>
      </c>
      <c r="L299" t="s">
        <v>204</v>
      </c>
      <c r="M299" t="s">
        <v>292</v>
      </c>
      <c r="N299" t="s">
        <v>26</v>
      </c>
      <c r="O299">
        <v>0.71</v>
      </c>
      <c r="P299">
        <v>0.79</v>
      </c>
    </row>
    <row r="300" spans="1:16" x14ac:dyDescent="0.25">
      <c r="A300">
        <v>278</v>
      </c>
      <c r="B300" t="s">
        <v>1122</v>
      </c>
      <c r="C300" t="s">
        <v>1112</v>
      </c>
      <c r="D300" t="s">
        <v>1113</v>
      </c>
      <c r="E300" t="s">
        <v>1123</v>
      </c>
      <c r="F300" t="s">
        <v>1124</v>
      </c>
      <c r="G300" t="s">
        <v>40</v>
      </c>
      <c r="H300" t="s">
        <v>40</v>
      </c>
      <c r="I300" t="s">
        <v>40</v>
      </c>
      <c r="J300" t="s">
        <v>1183</v>
      </c>
      <c r="K300" t="s">
        <v>3</v>
      </c>
      <c r="L300" t="s">
        <v>204</v>
      </c>
      <c r="P300">
        <v>0.79</v>
      </c>
    </row>
    <row r="301" spans="1:16" x14ac:dyDescent="0.25">
      <c r="A301">
        <v>309</v>
      </c>
      <c r="B301" t="s">
        <v>1125</v>
      </c>
      <c r="C301" t="s">
        <v>326</v>
      </c>
      <c r="D301" t="s">
        <v>1126</v>
      </c>
      <c r="E301" t="s">
        <v>1127</v>
      </c>
      <c r="F301" t="s">
        <v>1128</v>
      </c>
      <c r="G301" t="s">
        <v>21</v>
      </c>
      <c r="H301" t="s">
        <v>30</v>
      </c>
      <c r="I301" t="s">
        <v>23</v>
      </c>
      <c r="J301" t="s">
        <v>1183</v>
      </c>
      <c r="K301" t="s">
        <v>4</v>
      </c>
      <c r="L301" t="s">
        <v>24</v>
      </c>
      <c r="M301" t="s">
        <v>340</v>
      </c>
      <c r="N301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BG300"/>
  <sheetViews>
    <sheetView tabSelected="1" workbookViewId="0">
      <selection activeCell="A21" sqref="A21"/>
    </sheetView>
  </sheetViews>
  <sheetFormatPr defaultRowHeight="15" x14ac:dyDescent="0.25"/>
  <sheetData>
    <row r="1" spans="1:59" ht="76.5" x14ac:dyDescent="0.25">
      <c r="A1" s="1" t="s">
        <v>0</v>
      </c>
      <c r="B1" s="1" t="s">
        <v>1129</v>
      </c>
      <c r="C1" s="1" t="s">
        <v>1130</v>
      </c>
      <c r="D1" s="1" t="s">
        <v>1131</v>
      </c>
      <c r="E1" s="1" t="s">
        <v>1132</v>
      </c>
      <c r="F1" s="1" t="s">
        <v>1133</v>
      </c>
      <c r="G1" s="1" t="s">
        <v>1134</v>
      </c>
      <c r="H1" s="1" t="s">
        <v>1135</v>
      </c>
      <c r="I1" s="1" t="s">
        <v>1136</v>
      </c>
      <c r="J1" s="1" t="s">
        <v>1137</v>
      </c>
      <c r="K1" s="1" t="s">
        <v>9</v>
      </c>
      <c r="L1" s="1" t="s">
        <v>1138</v>
      </c>
      <c r="M1" s="1" t="s">
        <v>1139</v>
      </c>
      <c r="N1" s="1" t="s">
        <v>1140</v>
      </c>
      <c r="O1" s="1" t="s">
        <v>1141</v>
      </c>
      <c r="P1" s="1" t="s">
        <v>1142</v>
      </c>
      <c r="Q1" s="1" t="s">
        <v>1143</v>
      </c>
      <c r="R1" s="1" t="s">
        <v>1144</v>
      </c>
      <c r="S1" s="1" t="s">
        <v>1145</v>
      </c>
      <c r="T1" s="1" t="s">
        <v>1146</v>
      </c>
      <c r="U1" s="1" t="s">
        <v>1147</v>
      </c>
      <c r="V1" s="1" t="s">
        <v>1148</v>
      </c>
      <c r="W1" s="1" t="s">
        <v>1149</v>
      </c>
      <c r="X1" s="1" t="s">
        <v>1150</v>
      </c>
      <c r="Y1" s="1" t="s">
        <v>1151</v>
      </c>
      <c r="Z1" s="1"/>
      <c r="AA1" s="1" t="s">
        <v>1152</v>
      </c>
      <c r="AB1" s="1" t="s">
        <v>1153</v>
      </c>
      <c r="AC1" s="1" t="s">
        <v>1154</v>
      </c>
      <c r="AD1" s="1" t="s">
        <v>1155</v>
      </c>
      <c r="AE1" s="1" t="s">
        <v>1156</v>
      </c>
      <c r="AF1" s="2" t="s">
        <v>1157</v>
      </c>
      <c r="AG1" s="1" t="s">
        <v>1158</v>
      </c>
      <c r="AH1" s="1" t="s">
        <v>1159</v>
      </c>
      <c r="AI1" s="1" t="s">
        <v>1160</v>
      </c>
      <c r="AJ1" s="1" t="s">
        <v>1161</v>
      </c>
      <c r="AK1" s="1" t="s">
        <v>1162</v>
      </c>
      <c r="AL1" s="3"/>
      <c r="AM1" s="1" t="s">
        <v>1163</v>
      </c>
      <c r="AN1" s="1" t="s">
        <v>1164</v>
      </c>
      <c r="AO1" s="1" t="s">
        <v>1165</v>
      </c>
      <c r="AP1" s="1" t="s">
        <v>1166</v>
      </c>
      <c r="AQ1" s="3"/>
      <c r="AR1" s="1" t="s">
        <v>1167</v>
      </c>
      <c r="AS1" s="1" t="s">
        <v>1168</v>
      </c>
      <c r="AT1" s="1" t="s">
        <v>1169</v>
      </c>
      <c r="AU1" s="1" t="s">
        <v>1170</v>
      </c>
      <c r="AV1" s="3"/>
      <c r="AW1" s="1" t="s">
        <v>1171</v>
      </c>
      <c r="AX1" s="1" t="s">
        <v>1172</v>
      </c>
      <c r="AY1" s="1" t="s">
        <v>1173</v>
      </c>
      <c r="AZ1" s="1" t="s">
        <v>1174</v>
      </c>
      <c r="BA1" s="1" t="s">
        <v>1683</v>
      </c>
      <c r="BB1" s="1" t="s">
        <v>1684</v>
      </c>
      <c r="BC1" s="1" t="s">
        <v>1175</v>
      </c>
      <c r="BD1" s="3"/>
      <c r="BE1" s="1" t="s">
        <v>1176</v>
      </c>
      <c r="BF1" s="1" t="s">
        <v>1177</v>
      </c>
      <c r="BG1" s="1" t="s">
        <v>1178</v>
      </c>
    </row>
    <row r="2" spans="1:59" ht="15.75" x14ac:dyDescent="0.25">
      <c r="A2" s="3">
        <v>1</v>
      </c>
      <c r="B2" s="3" t="s">
        <v>16</v>
      </c>
      <c r="C2" s="3" t="s">
        <v>17</v>
      </c>
      <c r="D2" s="3" t="s">
        <v>1179</v>
      </c>
      <c r="E2" s="3" t="s">
        <v>18</v>
      </c>
      <c r="F2" s="3" t="s">
        <v>1180</v>
      </c>
      <c r="G2" s="3" t="s">
        <v>19</v>
      </c>
      <c r="H2" s="3" t="s">
        <v>20</v>
      </c>
      <c r="I2" s="3"/>
      <c r="J2" s="4" t="b">
        <v>0</v>
      </c>
      <c r="K2" s="3">
        <f>IF(AF2="","",AF2)</f>
        <v>30</v>
      </c>
      <c r="L2" s="3"/>
      <c r="M2" s="3"/>
      <c r="N2" s="3" t="b">
        <v>0</v>
      </c>
      <c r="O2" s="3"/>
      <c r="P2" s="3">
        <v>30.600000381469702</v>
      </c>
      <c r="Q2" s="3"/>
      <c r="R2" s="3" t="s">
        <v>1181</v>
      </c>
      <c r="S2" s="3" t="s">
        <v>25</v>
      </c>
      <c r="T2" s="3" t="s">
        <v>26</v>
      </c>
      <c r="U2" s="3" t="b">
        <v>0</v>
      </c>
      <c r="V2" s="3">
        <v>0.60000002384185802</v>
      </c>
      <c r="W2" s="3" t="e">
        <f t="shared" ref="W2:W65" si="0">IF(OR(H2="",S2=""),"",H2/S2)</f>
        <v>#VALUE!</v>
      </c>
      <c r="X2" s="3">
        <v>9</v>
      </c>
      <c r="Y2" s="3">
        <v>0.79000002145767201</v>
      </c>
      <c r="Z2" s="3"/>
      <c r="AA2" s="3" t="str">
        <f>IF(RIGHT(B2,3)="spp","Genus","Species")</f>
        <v>Species</v>
      </c>
      <c r="AB2" s="3">
        <v>30</v>
      </c>
      <c r="AC2" s="3">
        <v>30</v>
      </c>
      <c r="AD2" s="3" t="s">
        <v>1182</v>
      </c>
      <c r="AE2" s="3">
        <v>30</v>
      </c>
      <c r="AF2" s="5">
        <v>30</v>
      </c>
      <c r="AG2" s="3" t="s">
        <v>1183</v>
      </c>
      <c r="AH2" s="3" t="s">
        <v>1183</v>
      </c>
      <c r="AI2" s="3" t="s">
        <v>1183</v>
      </c>
      <c r="AJ2" s="3" t="s">
        <v>1183</v>
      </c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6">
        <v>7</v>
      </c>
      <c r="BF2" s="6">
        <v>1</v>
      </c>
      <c r="BG2" s="6">
        <v>7</v>
      </c>
    </row>
    <row r="3" spans="1:59" ht="15.75" x14ac:dyDescent="0.25">
      <c r="A3" s="3">
        <v>2</v>
      </c>
      <c r="B3" s="3" t="s">
        <v>32</v>
      </c>
      <c r="C3" s="3" t="s">
        <v>17</v>
      </c>
      <c r="D3" s="3" t="s">
        <v>1179</v>
      </c>
      <c r="E3" s="3" t="s">
        <v>18</v>
      </c>
      <c r="F3" s="3" t="s">
        <v>1184</v>
      </c>
      <c r="G3" s="3" t="s">
        <v>33</v>
      </c>
      <c r="H3" s="3" t="s">
        <v>34</v>
      </c>
      <c r="I3" s="3"/>
      <c r="J3" s="4" t="b">
        <v>1</v>
      </c>
      <c r="K3" s="3">
        <f t="shared" ref="K3:K66" si="1">IF(AF3="","",AF3)</f>
        <v>12</v>
      </c>
      <c r="L3" s="3"/>
      <c r="M3" s="3"/>
      <c r="N3" s="3" t="b">
        <v>0</v>
      </c>
      <c r="O3" s="3"/>
      <c r="P3" s="3">
        <v>11.699999809265099</v>
      </c>
      <c r="Q3" s="3"/>
      <c r="R3" s="3" t="s">
        <v>1181</v>
      </c>
      <c r="S3" s="3" t="s">
        <v>36</v>
      </c>
      <c r="T3" s="3" t="s">
        <v>26</v>
      </c>
      <c r="U3" s="3" t="b">
        <v>0</v>
      </c>
      <c r="V3" s="3">
        <v>0.60000002384185802</v>
      </c>
      <c r="W3" s="3" t="e">
        <f t="shared" si="0"/>
        <v>#VALUE!</v>
      </c>
      <c r="X3" s="3">
        <v>9</v>
      </c>
      <c r="Y3" s="3">
        <v>0.79000002145767201</v>
      </c>
      <c r="Z3" s="3"/>
      <c r="AA3" s="3" t="str">
        <f t="shared" ref="AA3:AA66" si="2">IF(RIGHT(B3,3)="spp","Genus","Species")</f>
        <v>Species</v>
      </c>
      <c r="AB3" s="3">
        <v>12</v>
      </c>
      <c r="AC3" s="3" t="s">
        <v>1183</v>
      </c>
      <c r="AD3" s="3" t="s">
        <v>1183</v>
      </c>
      <c r="AE3" s="3">
        <v>12</v>
      </c>
      <c r="AF3" s="5">
        <v>12</v>
      </c>
      <c r="AG3" s="3" t="s">
        <v>1185</v>
      </c>
      <c r="AH3" s="3">
        <v>6</v>
      </c>
      <c r="AI3" s="3">
        <v>10</v>
      </c>
      <c r="AJ3" s="3">
        <v>2</v>
      </c>
      <c r="AK3" s="3">
        <v>10</v>
      </c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6">
        <v>22.5</v>
      </c>
      <c r="BF3" s="6">
        <v>4</v>
      </c>
      <c r="BG3" s="6">
        <v>24</v>
      </c>
    </row>
    <row r="4" spans="1:59" ht="15.75" x14ac:dyDescent="0.25">
      <c r="A4" s="3">
        <v>3</v>
      </c>
      <c r="B4" s="3" t="s">
        <v>37</v>
      </c>
      <c r="C4" s="3" t="s">
        <v>17</v>
      </c>
      <c r="D4" s="3" t="s">
        <v>1179</v>
      </c>
      <c r="E4" s="3" t="s">
        <v>18</v>
      </c>
      <c r="F4" s="3" t="s">
        <v>1186</v>
      </c>
      <c r="G4" s="3" t="s">
        <v>38</v>
      </c>
      <c r="H4" s="3" t="s">
        <v>1187</v>
      </c>
      <c r="I4" s="3"/>
      <c r="J4" s="4" t="s">
        <v>1188</v>
      </c>
      <c r="K4" s="3" t="str">
        <f t="shared" si="1"/>
        <v/>
      </c>
      <c r="L4" s="3"/>
      <c r="M4" s="3"/>
      <c r="N4" s="3" t="b">
        <v>0</v>
      </c>
      <c r="O4" s="3"/>
      <c r="P4" s="3">
        <v>40</v>
      </c>
      <c r="Q4" s="3"/>
      <c r="R4" s="3" t="s">
        <v>1181</v>
      </c>
      <c r="S4" s="3"/>
      <c r="T4" s="3" t="s">
        <v>26</v>
      </c>
      <c r="U4" s="3"/>
      <c r="V4" s="3"/>
      <c r="W4" s="3" t="str">
        <f t="shared" si="0"/>
        <v/>
      </c>
      <c r="X4" s="3">
        <v>9</v>
      </c>
      <c r="Y4" s="3">
        <v>0.79000002145767201</v>
      </c>
      <c r="Z4" s="3"/>
      <c r="AA4" s="3" t="str">
        <f t="shared" si="2"/>
        <v>Genus</v>
      </c>
      <c r="AB4" s="3" t="s">
        <v>1183</v>
      </c>
      <c r="AC4" s="3" t="s">
        <v>1183</v>
      </c>
      <c r="AD4" s="3" t="s">
        <v>1183</v>
      </c>
      <c r="AE4" s="3" t="s">
        <v>1183</v>
      </c>
      <c r="AF4" s="5"/>
      <c r="AG4" s="3" t="s">
        <v>1183</v>
      </c>
      <c r="AH4" s="3" t="s">
        <v>1183</v>
      </c>
      <c r="AI4" s="3" t="s">
        <v>1183</v>
      </c>
      <c r="AJ4" s="3" t="s">
        <v>1183</v>
      </c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6">
        <v>32</v>
      </c>
      <c r="BF4" s="6">
        <v>15</v>
      </c>
      <c r="BG4" s="6">
        <v>32</v>
      </c>
    </row>
    <row r="5" spans="1:59" ht="15.75" x14ac:dyDescent="0.25">
      <c r="A5" s="3">
        <v>4</v>
      </c>
      <c r="B5" s="3" t="s">
        <v>27</v>
      </c>
      <c r="C5" s="3" t="s">
        <v>17</v>
      </c>
      <c r="D5" s="3" t="s">
        <v>1179</v>
      </c>
      <c r="E5" s="3" t="s">
        <v>18</v>
      </c>
      <c r="F5" s="3" t="s">
        <v>1189</v>
      </c>
      <c r="G5" s="3" t="s">
        <v>28</v>
      </c>
      <c r="H5" s="3" t="s">
        <v>29</v>
      </c>
      <c r="I5" s="3"/>
      <c r="J5" s="4" t="b">
        <v>0</v>
      </c>
      <c r="K5" s="3" t="str">
        <f t="shared" si="1"/>
        <v/>
      </c>
      <c r="L5" s="3"/>
      <c r="M5" s="3"/>
      <c r="N5" s="3" t="b">
        <v>0</v>
      </c>
      <c r="O5" s="3"/>
      <c r="P5" s="3">
        <v>40</v>
      </c>
      <c r="Q5" s="3"/>
      <c r="R5" s="3" t="s">
        <v>1181</v>
      </c>
      <c r="S5" s="3" t="s">
        <v>31</v>
      </c>
      <c r="T5" s="3" t="s">
        <v>26</v>
      </c>
      <c r="U5" s="3" t="b">
        <v>0</v>
      </c>
      <c r="V5" s="3">
        <v>0.60000002384185802</v>
      </c>
      <c r="W5" s="3" t="e">
        <f t="shared" si="0"/>
        <v>#VALUE!</v>
      </c>
      <c r="X5" s="3">
        <v>9</v>
      </c>
      <c r="Y5" s="3">
        <v>0.79000002145767201</v>
      </c>
      <c r="Z5" s="3"/>
      <c r="AA5" s="3" t="str">
        <f t="shared" si="2"/>
        <v>Species</v>
      </c>
      <c r="AB5" s="3" t="s">
        <v>1183</v>
      </c>
      <c r="AC5" s="3" t="s">
        <v>1183</v>
      </c>
      <c r="AD5" s="3" t="s">
        <v>1183</v>
      </c>
      <c r="AE5" s="3" t="s">
        <v>1183</v>
      </c>
      <c r="AF5" s="5"/>
      <c r="AG5" s="3" t="s">
        <v>1183</v>
      </c>
      <c r="AH5" s="3" t="s">
        <v>1183</v>
      </c>
      <c r="AI5" s="3" t="s">
        <v>1183</v>
      </c>
      <c r="AJ5" s="3" t="s">
        <v>1183</v>
      </c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>
        <v>12</v>
      </c>
      <c r="AZ5" s="3">
        <v>18</v>
      </c>
      <c r="BA5" s="3">
        <v>6</v>
      </c>
      <c r="BB5" s="3">
        <v>12</v>
      </c>
      <c r="BC5" s="3" t="s">
        <v>1685</v>
      </c>
      <c r="BD5" s="3"/>
      <c r="BE5" s="6">
        <v>32</v>
      </c>
      <c r="BF5" s="6">
        <v>1</v>
      </c>
      <c r="BG5" s="6">
        <v>32</v>
      </c>
    </row>
    <row r="6" spans="1:59" ht="15.75" x14ac:dyDescent="0.25">
      <c r="A6" s="3">
        <v>318</v>
      </c>
      <c r="B6" s="3" t="s">
        <v>588</v>
      </c>
      <c r="C6" s="3" t="s">
        <v>141</v>
      </c>
      <c r="D6" s="3" t="s">
        <v>589</v>
      </c>
      <c r="E6" s="3" t="s">
        <v>589</v>
      </c>
      <c r="F6" s="3" t="s">
        <v>1717</v>
      </c>
      <c r="G6" s="3" t="s">
        <v>590</v>
      </c>
      <c r="H6" s="3" t="s">
        <v>591</v>
      </c>
      <c r="I6" s="3"/>
      <c r="J6" s="4" t="b">
        <v>0</v>
      </c>
      <c r="K6" s="3" t="str">
        <f t="shared" si="1"/>
        <v/>
      </c>
      <c r="L6" s="3"/>
      <c r="M6" s="3"/>
      <c r="N6" s="3" t="b">
        <v>0</v>
      </c>
      <c r="O6" s="3"/>
      <c r="P6" s="3"/>
      <c r="Q6" s="3"/>
      <c r="R6" s="3" t="s">
        <v>1181</v>
      </c>
      <c r="S6" s="3" t="s">
        <v>340</v>
      </c>
      <c r="T6" s="3" t="s">
        <v>26</v>
      </c>
      <c r="U6" s="3" t="b">
        <v>0</v>
      </c>
      <c r="V6" s="3"/>
      <c r="W6" s="3" t="e">
        <f t="shared" si="0"/>
        <v>#VALUE!</v>
      </c>
      <c r="X6" s="3"/>
      <c r="Y6" s="3"/>
      <c r="Z6" s="3"/>
      <c r="AA6" s="3" t="str">
        <f t="shared" si="2"/>
        <v>Species</v>
      </c>
      <c r="AB6" s="3"/>
      <c r="AC6" s="3"/>
      <c r="AD6" s="3"/>
      <c r="AE6" s="3"/>
      <c r="AF6" s="5"/>
      <c r="AG6" s="3" t="s">
        <v>1190</v>
      </c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6" t="e">
        <v>#NUM!</v>
      </c>
      <c r="BF6" s="6">
        <v>0</v>
      </c>
      <c r="BG6" s="6" t="e">
        <v>#NUM!</v>
      </c>
    </row>
    <row r="7" spans="1:59" ht="15.75" x14ac:dyDescent="0.25">
      <c r="A7" s="3">
        <v>6</v>
      </c>
      <c r="B7" s="3" t="s">
        <v>41</v>
      </c>
      <c r="C7" s="3" t="s">
        <v>42</v>
      </c>
      <c r="D7" s="3" t="s">
        <v>1191</v>
      </c>
      <c r="E7" s="3" t="s">
        <v>43</v>
      </c>
      <c r="F7" s="3" t="s">
        <v>1686</v>
      </c>
      <c r="G7" s="3" t="s">
        <v>44</v>
      </c>
      <c r="H7" s="3" t="s">
        <v>45</v>
      </c>
      <c r="I7" s="3" t="s">
        <v>1192</v>
      </c>
      <c r="J7" s="4" t="b">
        <v>0</v>
      </c>
      <c r="K7" s="3">
        <f t="shared" si="1"/>
        <v>45</v>
      </c>
      <c r="L7" s="3"/>
      <c r="M7" s="3"/>
      <c r="N7" s="3" t="b">
        <v>0</v>
      </c>
      <c r="O7" s="3"/>
      <c r="P7" s="3"/>
      <c r="Q7" s="3"/>
      <c r="R7" s="3" t="s">
        <v>1181</v>
      </c>
      <c r="S7" s="3" t="s">
        <v>46</v>
      </c>
      <c r="T7" s="3" t="s">
        <v>26</v>
      </c>
      <c r="U7" s="3" t="b">
        <v>0</v>
      </c>
      <c r="V7" s="3"/>
      <c r="W7" s="3" t="e">
        <f t="shared" si="0"/>
        <v>#VALUE!</v>
      </c>
      <c r="X7" s="3"/>
      <c r="Y7" s="3"/>
      <c r="Z7" s="3"/>
      <c r="AA7" s="3" t="str">
        <f t="shared" si="2"/>
        <v>Species</v>
      </c>
      <c r="AB7" s="3" t="s">
        <v>1183</v>
      </c>
      <c r="AC7" s="3" t="s">
        <v>1183</v>
      </c>
      <c r="AD7" s="3" t="s">
        <v>1183</v>
      </c>
      <c r="AE7" s="3" t="s">
        <v>1183</v>
      </c>
      <c r="AF7" s="5">
        <v>45</v>
      </c>
      <c r="AG7" s="3" t="s">
        <v>1193</v>
      </c>
      <c r="AH7" s="3">
        <v>30</v>
      </c>
      <c r="AI7" s="3">
        <v>60</v>
      </c>
      <c r="AJ7" s="3">
        <v>9</v>
      </c>
      <c r="AK7" s="3">
        <v>12</v>
      </c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6" t="e">
        <v>#NUM!</v>
      </c>
      <c r="BF7" s="6">
        <v>0</v>
      </c>
      <c r="BG7" s="6" t="e">
        <v>#NUM!</v>
      </c>
    </row>
    <row r="8" spans="1:59" ht="15.75" x14ac:dyDescent="0.25">
      <c r="A8" s="3">
        <v>7</v>
      </c>
      <c r="B8" s="3" t="s">
        <v>55</v>
      </c>
      <c r="C8" s="3" t="s">
        <v>42</v>
      </c>
      <c r="D8" s="3" t="s">
        <v>1191</v>
      </c>
      <c r="E8" s="3" t="s">
        <v>56</v>
      </c>
      <c r="F8" s="3" t="s">
        <v>1323</v>
      </c>
      <c r="G8" s="3" t="s">
        <v>56</v>
      </c>
      <c r="H8" s="3" t="s">
        <v>57</v>
      </c>
      <c r="I8" s="3"/>
      <c r="J8" s="4" t="s">
        <v>1188</v>
      </c>
      <c r="K8" s="3">
        <f t="shared" si="1"/>
        <v>30</v>
      </c>
      <c r="L8" s="3"/>
      <c r="M8" s="3"/>
      <c r="N8" s="3" t="b">
        <v>0</v>
      </c>
      <c r="O8" s="3"/>
      <c r="P8" s="3">
        <v>40</v>
      </c>
      <c r="Q8" s="3"/>
      <c r="R8" s="3" t="s">
        <v>1181</v>
      </c>
      <c r="S8" s="3" t="s">
        <v>58</v>
      </c>
      <c r="T8" s="3" t="s">
        <v>26</v>
      </c>
      <c r="U8" s="3" t="b">
        <v>0</v>
      </c>
      <c r="V8" s="3">
        <v>0.5</v>
      </c>
      <c r="W8" s="3" t="e">
        <f t="shared" si="0"/>
        <v>#VALUE!</v>
      </c>
      <c r="X8" s="3">
        <v>9</v>
      </c>
      <c r="Y8" s="3">
        <v>0.85000002384185802</v>
      </c>
      <c r="Z8" s="3"/>
      <c r="AA8" s="3" t="str">
        <f t="shared" si="2"/>
        <v>Species</v>
      </c>
      <c r="AB8" s="3" t="s">
        <v>1183</v>
      </c>
      <c r="AC8" s="3">
        <v>30</v>
      </c>
      <c r="AD8" s="3" t="s">
        <v>1194</v>
      </c>
      <c r="AE8" s="3" t="s">
        <v>1183</v>
      </c>
      <c r="AF8" s="5">
        <v>30</v>
      </c>
      <c r="AG8" s="3" t="s">
        <v>1195</v>
      </c>
      <c r="AH8" s="3">
        <v>15</v>
      </c>
      <c r="AI8" s="3">
        <v>25</v>
      </c>
      <c r="AJ8" s="3">
        <v>6</v>
      </c>
      <c r="AK8" s="3">
        <v>10</v>
      </c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>
        <v>8</v>
      </c>
      <c r="BA8" s="3"/>
      <c r="BB8" s="3"/>
      <c r="BC8" s="3" t="s">
        <v>1196</v>
      </c>
      <c r="BD8" s="3"/>
      <c r="BE8" s="6" t="e">
        <v>#NUM!</v>
      </c>
      <c r="BF8" s="6">
        <v>0</v>
      </c>
      <c r="BG8" s="6" t="e">
        <v>#NUM!</v>
      </c>
    </row>
    <row r="9" spans="1:59" ht="15.75" x14ac:dyDescent="0.25">
      <c r="A9" s="3">
        <v>8</v>
      </c>
      <c r="B9" s="3" t="s">
        <v>47</v>
      </c>
      <c r="C9" s="3" t="s">
        <v>42</v>
      </c>
      <c r="D9" s="3" t="s">
        <v>1191</v>
      </c>
      <c r="E9" s="3" t="s">
        <v>43</v>
      </c>
      <c r="F9" s="3" t="s">
        <v>1687</v>
      </c>
      <c r="G9" s="3" t="s">
        <v>48</v>
      </c>
      <c r="H9" s="3" t="s">
        <v>1197</v>
      </c>
      <c r="I9" s="3"/>
      <c r="J9" s="4" t="s">
        <v>1188</v>
      </c>
      <c r="K9" s="3" t="str">
        <f t="shared" si="1"/>
        <v/>
      </c>
      <c r="L9" s="3"/>
      <c r="M9" s="3"/>
      <c r="N9" s="3" t="b">
        <v>0</v>
      </c>
      <c r="O9" s="3"/>
      <c r="P9" s="3"/>
      <c r="Q9" s="3"/>
      <c r="R9" s="3" t="s">
        <v>1181</v>
      </c>
      <c r="S9" s="3"/>
      <c r="T9" s="3" t="s">
        <v>26</v>
      </c>
      <c r="U9" s="3"/>
      <c r="V9" s="3"/>
      <c r="W9" s="3" t="e">
        <f>IF(OR(H9="",S10=""),"",H9/S10)</f>
        <v>#VALUE!</v>
      </c>
      <c r="X9" s="3"/>
      <c r="Y9" s="3"/>
      <c r="Z9" s="3"/>
      <c r="AA9" s="3" t="str">
        <f t="shared" si="2"/>
        <v>Genus</v>
      </c>
      <c r="AB9" s="3" t="s">
        <v>1183</v>
      </c>
      <c r="AC9" s="3" t="s">
        <v>1183</v>
      </c>
      <c r="AD9" s="3" t="s">
        <v>1183</v>
      </c>
      <c r="AE9" s="3" t="s">
        <v>1183</v>
      </c>
      <c r="AF9" s="5"/>
      <c r="AG9" s="3" t="s">
        <v>1183</v>
      </c>
      <c r="AH9" s="3" t="s">
        <v>1183</v>
      </c>
      <c r="AI9" s="3" t="s">
        <v>1183</v>
      </c>
      <c r="AJ9" s="3" t="s">
        <v>1183</v>
      </c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6">
        <v>34.300000000000011</v>
      </c>
      <c r="BF9" s="6">
        <v>248</v>
      </c>
      <c r="BG9" s="6">
        <v>65</v>
      </c>
    </row>
    <row r="10" spans="1:59" ht="15.75" x14ac:dyDescent="0.25">
      <c r="A10" s="3">
        <v>282</v>
      </c>
      <c r="B10" s="3" t="s">
        <v>62</v>
      </c>
      <c r="C10" s="3" t="s">
        <v>42</v>
      </c>
      <c r="D10" s="3" t="s">
        <v>1198</v>
      </c>
      <c r="E10" s="3" t="s">
        <v>63</v>
      </c>
      <c r="F10" s="3" t="s">
        <v>1199</v>
      </c>
      <c r="G10" s="3" t="s">
        <v>63</v>
      </c>
      <c r="H10" s="3" t="s">
        <v>64</v>
      </c>
      <c r="I10" s="3"/>
      <c r="J10" s="4" t="b">
        <v>0</v>
      </c>
      <c r="K10" s="3">
        <f t="shared" si="1"/>
        <v>30</v>
      </c>
      <c r="L10" s="3"/>
      <c r="M10" s="3"/>
      <c r="N10" s="3" t="b">
        <v>0</v>
      </c>
      <c r="O10" s="3"/>
      <c r="P10" s="3"/>
      <c r="Q10" s="3"/>
      <c r="R10" s="3" t="s">
        <v>1181</v>
      </c>
      <c r="S10" s="3" t="s">
        <v>65</v>
      </c>
      <c r="T10" s="3" t="s">
        <v>26</v>
      </c>
      <c r="U10" s="3" t="b">
        <v>0</v>
      </c>
      <c r="V10" s="3"/>
      <c r="W10" s="3" t="e">
        <f>IF(OR(H10="",#REF!=""),"",H10/#REF!)</f>
        <v>#REF!</v>
      </c>
      <c r="X10" s="3"/>
      <c r="Y10" s="3"/>
      <c r="Z10" s="3"/>
      <c r="AA10" s="3" t="str">
        <f t="shared" si="2"/>
        <v>Species</v>
      </c>
      <c r="AB10" s="3" t="s">
        <v>1183</v>
      </c>
      <c r="AC10" s="3" t="s">
        <v>1183</v>
      </c>
      <c r="AD10" s="3" t="s">
        <v>1183</v>
      </c>
      <c r="AE10" s="3" t="s">
        <v>1183</v>
      </c>
      <c r="AF10" s="5">
        <v>30</v>
      </c>
      <c r="AG10" s="3" t="s">
        <v>1183</v>
      </c>
      <c r="AH10" s="3" t="s">
        <v>1183</v>
      </c>
      <c r="AI10" s="3" t="s">
        <v>1183</v>
      </c>
      <c r="AJ10" s="3" t="s">
        <v>1183</v>
      </c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6">
        <v>29.400000000000013</v>
      </c>
      <c r="BF10" s="6">
        <v>22</v>
      </c>
      <c r="BG10" s="6">
        <v>51</v>
      </c>
    </row>
    <row r="11" spans="1:59" ht="15.75" x14ac:dyDescent="0.25">
      <c r="A11" s="3">
        <v>9</v>
      </c>
      <c r="B11" s="3" t="s">
        <v>79</v>
      </c>
      <c r="C11" s="3" t="s">
        <v>67</v>
      </c>
      <c r="D11" s="3" t="s">
        <v>1200</v>
      </c>
      <c r="E11" s="3" t="s">
        <v>68</v>
      </c>
      <c r="F11" s="3" t="s">
        <v>1201</v>
      </c>
      <c r="G11" s="3" t="s">
        <v>80</v>
      </c>
      <c r="H11" s="3" t="s">
        <v>81</v>
      </c>
      <c r="I11" s="3"/>
      <c r="J11" s="4" t="b">
        <v>1</v>
      </c>
      <c r="K11" s="3">
        <f t="shared" si="1"/>
        <v>50</v>
      </c>
      <c r="L11" s="3"/>
      <c r="M11" s="3"/>
      <c r="N11" s="3" t="b">
        <v>0</v>
      </c>
      <c r="O11" s="3"/>
      <c r="P11" s="3">
        <v>45</v>
      </c>
      <c r="Q11" s="3"/>
      <c r="R11" s="3" t="s">
        <v>1181</v>
      </c>
      <c r="S11" s="3" t="s">
        <v>82</v>
      </c>
      <c r="T11" s="3" t="s">
        <v>26</v>
      </c>
      <c r="U11" s="3" t="b">
        <v>0</v>
      </c>
      <c r="V11" s="3">
        <v>0.56999999284744296</v>
      </c>
      <c r="W11" s="3" t="e">
        <f t="shared" si="0"/>
        <v>#VALUE!</v>
      </c>
      <c r="X11" s="3">
        <v>9</v>
      </c>
      <c r="Y11" s="3">
        <v>0.83999997377395597</v>
      </c>
      <c r="Z11" s="3"/>
      <c r="AA11" s="3" t="str">
        <f t="shared" si="2"/>
        <v>Species</v>
      </c>
      <c r="AB11" s="3">
        <v>61</v>
      </c>
      <c r="AC11" s="3" t="s">
        <v>1183</v>
      </c>
      <c r="AD11" s="3" t="s">
        <v>1183</v>
      </c>
      <c r="AE11" s="3">
        <v>61</v>
      </c>
      <c r="AF11" s="5">
        <v>50</v>
      </c>
      <c r="AG11" s="3" t="s">
        <v>1202</v>
      </c>
      <c r="AH11" s="3">
        <v>30</v>
      </c>
      <c r="AI11" s="3">
        <v>50</v>
      </c>
      <c r="AJ11" s="3">
        <v>10</v>
      </c>
      <c r="AK11" s="3">
        <v>20</v>
      </c>
      <c r="AL11" s="3"/>
      <c r="AM11" s="3"/>
      <c r="AN11" s="3"/>
      <c r="AO11" s="3"/>
      <c r="AP11" s="3"/>
      <c r="AQ11" s="3"/>
      <c r="AR11" s="3"/>
      <c r="AS11" s="3">
        <v>50</v>
      </c>
      <c r="AT11" s="3"/>
      <c r="AU11" s="3">
        <v>20</v>
      </c>
      <c r="AV11" s="3"/>
      <c r="AW11" s="3"/>
      <c r="AX11" s="3"/>
      <c r="AY11" s="3"/>
      <c r="AZ11" s="3"/>
      <c r="BA11" s="3"/>
      <c r="BB11" s="3"/>
      <c r="BC11" s="3"/>
      <c r="BD11" s="3"/>
      <c r="BE11" s="6">
        <v>26</v>
      </c>
      <c r="BF11" s="6">
        <v>585</v>
      </c>
      <c r="BG11" s="6">
        <v>102</v>
      </c>
    </row>
    <row r="12" spans="1:59" ht="15.75" x14ac:dyDescent="0.25">
      <c r="A12" s="3">
        <v>10</v>
      </c>
      <c r="B12" s="3" t="s">
        <v>87</v>
      </c>
      <c r="C12" s="3" t="s">
        <v>67</v>
      </c>
      <c r="D12" s="3" t="s">
        <v>1200</v>
      </c>
      <c r="E12" s="3" t="s">
        <v>68</v>
      </c>
      <c r="F12" s="3" t="s">
        <v>1203</v>
      </c>
      <c r="G12" s="3" t="s">
        <v>88</v>
      </c>
      <c r="H12" s="3" t="s">
        <v>89</v>
      </c>
      <c r="I12" s="3"/>
      <c r="J12" s="4" t="b">
        <v>0</v>
      </c>
      <c r="K12" s="3">
        <f t="shared" si="1"/>
        <v>20</v>
      </c>
      <c r="L12" s="3"/>
      <c r="M12" s="3"/>
      <c r="N12" s="3" t="b">
        <v>0</v>
      </c>
      <c r="O12" s="3"/>
      <c r="P12" s="3">
        <v>31.799999237060501</v>
      </c>
      <c r="Q12" s="3"/>
      <c r="R12" s="3" t="s">
        <v>1181</v>
      </c>
      <c r="S12" s="3" t="s">
        <v>90</v>
      </c>
      <c r="T12" s="3" t="s">
        <v>26</v>
      </c>
      <c r="U12" s="3" t="b">
        <v>0</v>
      </c>
      <c r="V12" s="3">
        <v>0.60000002384185802</v>
      </c>
      <c r="W12" s="3" t="e">
        <f t="shared" si="0"/>
        <v>#VALUE!</v>
      </c>
      <c r="X12" s="3">
        <v>9</v>
      </c>
      <c r="Y12" s="3">
        <v>0.83999997377395597</v>
      </c>
      <c r="Z12" s="3"/>
      <c r="AA12" s="3" t="str">
        <f t="shared" si="2"/>
        <v>Species</v>
      </c>
      <c r="AB12" s="3">
        <v>20</v>
      </c>
      <c r="AC12" s="3" t="s">
        <v>1183</v>
      </c>
      <c r="AD12" s="3" t="s">
        <v>1183</v>
      </c>
      <c r="AE12" s="3">
        <v>20</v>
      </c>
      <c r="AF12" s="5">
        <v>20</v>
      </c>
      <c r="AG12" s="3" t="s">
        <v>1204</v>
      </c>
      <c r="AH12" s="3">
        <v>15</v>
      </c>
      <c r="AI12" s="3">
        <v>25</v>
      </c>
      <c r="AJ12" s="3" t="s">
        <v>1183</v>
      </c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6">
        <v>36.18</v>
      </c>
      <c r="BF12" s="6">
        <v>20</v>
      </c>
      <c r="BG12" s="6">
        <v>46</v>
      </c>
    </row>
    <row r="13" spans="1:59" ht="15.75" x14ac:dyDescent="0.25">
      <c r="A13" s="3">
        <v>11</v>
      </c>
      <c r="B13" s="3" t="s">
        <v>72</v>
      </c>
      <c r="C13" s="3" t="s">
        <v>67</v>
      </c>
      <c r="D13" s="3" t="s">
        <v>1200</v>
      </c>
      <c r="E13" s="3" t="s">
        <v>68</v>
      </c>
      <c r="F13" s="3" t="s">
        <v>1688</v>
      </c>
      <c r="G13" s="3" t="s">
        <v>73</v>
      </c>
      <c r="H13" s="3" t="s">
        <v>74</v>
      </c>
      <c r="I13" s="3"/>
      <c r="J13" s="4" t="b">
        <v>0</v>
      </c>
      <c r="K13" s="3">
        <f t="shared" si="1"/>
        <v>90</v>
      </c>
      <c r="L13" s="3"/>
      <c r="M13" s="3"/>
      <c r="N13" s="3" t="b">
        <v>1</v>
      </c>
      <c r="O13" s="3"/>
      <c r="P13" s="3">
        <v>40</v>
      </c>
      <c r="Q13" s="3" t="s">
        <v>1205</v>
      </c>
      <c r="R13" s="3" t="s">
        <v>1181</v>
      </c>
      <c r="S13" s="3" t="s">
        <v>75</v>
      </c>
      <c r="T13" s="3" t="s">
        <v>26</v>
      </c>
      <c r="U13" s="3" t="b">
        <v>0</v>
      </c>
      <c r="V13" s="3">
        <v>0.60000002384185802</v>
      </c>
      <c r="W13" s="3" t="e">
        <f t="shared" si="0"/>
        <v>#VALUE!</v>
      </c>
      <c r="X13" s="3">
        <v>9</v>
      </c>
      <c r="Y13" s="3">
        <v>0.85000002384185802</v>
      </c>
      <c r="Z13" s="3"/>
      <c r="AA13" s="3" t="str">
        <f t="shared" si="2"/>
        <v>Species</v>
      </c>
      <c r="AB13" s="3" t="s">
        <v>1183</v>
      </c>
      <c r="AC13" s="3" t="s">
        <v>1183</v>
      </c>
      <c r="AD13" s="3" t="s">
        <v>1183</v>
      </c>
      <c r="AE13" s="3" t="s">
        <v>1183</v>
      </c>
      <c r="AF13" s="5">
        <v>90</v>
      </c>
      <c r="AG13" s="3" t="s">
        <v>1206</v>
      </c>
      <c r="AH13" s="3" t="s">
        <v>1183</v>
      </c>
      <c r="AI13" s="3" t="s">
        <v>1183</v>
      </c>
      <c r="AJ13" s="3"/>
      <c r="AK13" s="3">
        <v>40</v>
      </c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6">
        <v>59</v>
      </c>
      <c r="BF13" s="6">
        <v>1092</v>
      </c>
      <c r="BG13" s="6">
        <v>139.4</v>
      </c>
    </row>
    <row r="14" spans="1:59" ht="15.75" x14ac:dyDescent="0.25">
      <c r="A14" s="3">
        <v>12</v>
      </c>
      <c r="B14" s="3" t="s">
        <v>83</v>
      </c>
      <c r="C14" s="3" t="s">
        <v>67</v>
      </c>
      <c r="D14" s="3" t="s">
        <v>1200</v>
      </c>
      <c r="E14" s="3" t="s">
        <v>68</v>
      </c>
      <c r="F14" s="3" t="s">
        <v>1207</v>
      </c>
      <c r="G14" s="3" t="s">
        <v>84</v>
      </c>
      <c r="H14" s="6" t="s">
        <v>85</v>
      </c>
      <c r="I14" s="3"/>
      <c r="J14" s="4" t="b">
        <v>1</v>
      </c>
      <c r="K14" s="3">
        <f t="shared" si="1"/>
        <v>50</v>
      </c>
      <c r="L14" s="3"/>
      <c r="M14" s="3"/>
      <c r="N14" s="3" t="b">
        <v>1</v>
      </c>
      <c r="O14" s="3"/>
      <c r="P14" s="3">
        <v>57</v>
      </c>
      <c r="Q14" s="3"/>
      <c r="R14" s="3" t="s">
        <v>1181</v>
      </c>
      <c r="S14" s="3" t="s">
        <v>86</v>
      </c>
      <c r="T14" s="3" t="s">
        <v>26</v>
      </c>
      <c r="U14" s="3" t="b">
        <v>0</v>
      </c>
      <c r="V14" s="3">
        <v>0.67000001668930098</v>
      </c>
      <c r="W14" s="3" t="e">
        <f>IF(OR(#REF!="",S14=""),"",#REF!/S14)</f>
        <v>#REF!</v>
      </c>
      <c r="X14" s="3">
        <v>9</v>
      </c>
      <c r="Y14" s="3">
        <v>0.82999998331069902</v>
      </c>
      <c r="Z14" s="3"/>
      <c r="AA14" s="3" t="str">
        <f t="shared" si="2"/>
        <v>Species</v>
      </c>
      <c r="AB14" s="3">
        <v>60</v>
      </c>
      <c r="AC14" s="3">
        <v>50</v>
      </c>
      <c r="AD14" s="3" t="s">
        <v>1208</v>
      </c>
      <c r="AE14" s="3">
        <v>60</v>
      </c>
      <c r="AF14" s="5">
        <v>50</v>
      </c>
      <c r="AG14" s="3" t="s">
        <v>1209</v>
      </c>
      <c r="AH14" s="3">
        <v>30</v>
      </c>
      <c r="AI14" s="3">
        <v>50</v>
      </c>
      <c r="AJ14" s="3">
        <v>10</v>
      </c>
      <c r="AK14" s="3">
        <v>15</v>
      </c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6">
        <v>48</v>
      </c>
      <c r="BF14" s="6">
        <v>15618</v>
      </c>
      <c r="BG14" s="6">
        <v>129</v>
      </c>
    </row>
    <row r="15" spans="1:59" ht="15.75" x14ac:dyDescent="0.25">
      <c r="A15" s="3">
        <v>13</v>
      </c>
      <c r="B15" s="3" t="s">
        <v>76</v>
      </c>
      <c r="C15" s="3" t="s">
        <v>67</v>
      </c>
      <c r="D15" s="3" t="s">
        <v>1200</v>
      </c>
      <c r="E15" s="3" t="s">
        <v>68</v>
      </c>
      <c r="F15" s="3" t="s">
        <v>1210</v>
      </c>
      <c r="G15" s="3" t="s">
        <v>77</v>
      </c>
      <c r="H15" s="6" t="s">
        <v>78</v>
      </c>
      <c r="I15" s="3"/>
      <c r="J15" s="4" t="b">
        <v>0</v>
      </c>
      <c r="K15" s="3" t="str">
        <f t="shared" si="1"/>
        <v/>
      </c>
      <c r="L15" s="3"/>
      <c r="M15" s="3"/>
      <c r="N15" s="3" t="b">
        <v>0</v>
      </c>
      <c r="O15" s="3"/>
      <c r="P15" s="3">
        <v>40</v>
      </c>
      <c r="Q15" s="3"/>
      <c r="R15" s="3" t="s">
        <v>1181</v>
      </c>
      <c r="S15" s="3"/>
      <c r="T15" s="3" t="s">
        <v>26</v>
      </c>
      <c r="U15" s="3" t="b">
        <v>0</v>
      </c>
      <c r="V15" s="3">
        <v>0.5</v>
      </c>
      <c r="W15" s="3" t="str">
        <f>IF(OR(H14="",S15=""),"",H14/S15)</f>
        <v/>
      </c>
      <c r="X15" s="3">
        <v>9</v>
      </c>
      <c r="Y15" s="3">
        <v>0.83999997377395597</v>
      </c>
      <c r="Z15" s="3"/>
      <c r="AA15" s="3" t="str">
        <f t="shared" si="2"/>
        <v>Species</v>
      </c>
      <c r="AB15" s="3" t="s">
        <v>1183</v>
      </c>
      <c r="AC15" s="3" t="s">
        <v>1183</v>
      </c>
      <c r="AD15" s="3" t="s">
        <v>1183</v>
      </c>
      <c r="AE15" s="3" t="s">
        <v>1183</v>
      </c>
      <c r="AF15" s="5" t="s">
        <v>1183</v>
      </c>
      <c r="AG15" s="3" t="s">
        <v>1183</v>
      </c>
      <c r="AH15" s="3" t="s">
        <v>1183</v>
      </c>
      <c r="AI15" s="3" t="s">
        <v>1183</v>
      </c>
      <c r="AJ15" s="3" t="s">
        <v>1183</v>
      </c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6">
        <v>18.75</v>
      </c>
      <c r="BF15" s="6">
        <v>2</v>
      </c>
      <c r="BG15" s="6">
        <v>19.5</v>
      </c>
    </row>
    <row r="16" spans="1:59" ht="15.75" x14ac:dyDescent="0.25">
      <c r="A16" s="3">
        <v>14</v>
      </c>
      <c r="B16" s="3" t="s">
        <v>91</v>
      </c>
      <c r="C16" s="3" t="s">
        <v>67</v>
      </c>
      <c r="D16" s="3" t="s">
        <v>1200</v>
      </c>
      <c r="E16" s="3" t="s">
        <v>68</v>
      </c>
      <c r="F16" s="3" t="s">
        <v>1689</v>
      </c>
      <c r="G16" s="3" t="s">
        <v>92</v>
      </c>
      <c r="H16" s="3" t="s">
        <v>1211</v>
      </c>
      <c r="I16" s="3"/>
      <c r="J16" s="4" t="s">
        <v>1188</v>
      </c>
      <c r="K16" s="3" t="str">
        <f t="shared" si="1"/>
        <v/>
      </c>
      <c r="L16" s="3"/>
      <c r="M16" s="3"/>
      <c r="N16" s="3" t="b">
        <v>0</v>
      </c>
      <c r="O16" s="3"/>
      <c r="P16" s="3"/>
      <c r="Q16" s="3"/>
      <c r="R16" s="3" t="s">
        <v>1181</v>
      </c>
      <c r="S16" s="3"/>
      <c r="T16" s="3" t="s">
        <v>26</v>
      </c>
      <c r="U16" s="3" t="b">
        <v>0</v>
      </c>
      <c r="V16" s="3"/>
      <c r="W16" s="3" t="str">
        <f t="shared" si="0"/>
        <v/>
      </c>
      <c r="X16" s="3">
        <v>9</v>
      </c>
      <c r="Y16" s="3">
        <v>0.83999997377395597</v>
      </c>
      <c r="Z16" s="3"/>
      <c r="AA16" s="3" t="str">
        <f t="shared" si="2"/>
        <v>Genus</v>
      </c>
      <c r="AB16" s="3" t="s">
        <v>1183</v>
      </c>
      <c r="AC16" s="3" t="s">
        <v>1183</v>
      </c>
      <c r="AD16" s="3" t="s">
        <v>1183</v>
      </c>
      <c r="AE16" s="3" t="s">
        <v>1183</v>
      </c>
      <c r="AF16" s="5"/>
      <c r="AG16" s="3" t="s">
        <v>1183</v>
      </c>
      <c r="AH16" s="3" t="s">
        <v>1183</v>
      </c>
      <c r="AI16" s="3" t="s">
        <v>1183</v>
      </c>
      <c r="AJ16" s="3" t="s">
        <v>1183</v>
      </c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6">
        <v>60</v>
      </c>
      <c r="BF16" s="6">
        <v>2747</v>
      </c>
      <c r="BG16" s="6">
        <v>159</v>
      </c>
    </row>
    <row r="17" spans="1:59" ht="15.75" x14ac:dyDescent="0.25">
      <c r="A17" s="3">
        <v>15</v>
      </c>
      <c r="B17" s="3" t="s">
        <v>66</v>
      </c>
      <c r="C17" s="3" t="s">
        <v>67</v>
      </c>
      <c r="D17" s="3" t="s">
        <v>1200</v>
      </c>
      <c r="E17" s="3" t="s">
        <v>68</v>
      </c>
      <c r="F17" s="3" t="s">
        <v>1212</v>
      </c>
      <c r="G17" s="3" t="s">
        <v>69</v>
      </c>
      <c r="H17" s="3" t="s">
        <v>70</v>
      </c>
      <c r="I17" s="3"/>
      <c r="J17" s="4" t="b">
        <v>1</v>
      </c>
      <c r="K17" s="3">
        <f t="shared" si="1"/>
        <v>75</v>
      </c>
      <c r="L17" s="3"/>
      <c r="M17" s="3"/>
      <c r="N17" s="3" t="b">
        <v>1</v>
      </c>
      <c r="O17" s="3"/>
      <c r="P17" s="3">
        <v>93.900001525878906</v>
      </c>
      <c r="Q17" s="3" t="s">
        <v>1213</v>
      </c>
      <c r="R17" s="3" t="s">
        <v>1181</v>
      </c>
      <c r="S17" s="3" t="s">
        <v>71</v>
      </c>
      <c r="T17" s="3" t="s">
        <v>26</v>
      </c>
      <c r="U17" s="3" t="b">
        <v>0</v>
      </c>
      <c r="V17" s="3">
        <v>0.72000002861022905</v>
      </c>
      <c r="W17" s="3" t="e">
        <f t="shared" si="0"/>
        <v>#VALUE!</v>
      </c>
      <c r="X17" s="3">
        <v>9</v>
      </c>
      <c r="Y17" s="3">
        <v>0.83999997377395597</v>
      </c>
      <c r="Z17" s="3"/>
      <c r="AA17" s="3" t="str">
        <f t="shared" si="2"/>
        <v>Species</v>
      </c>
      <c r="AB17" s="3">
        <v>150</v>
      </c>
      <c r="AC17" s="3" t="s">
        <v>1183</v>
      </c>
      <c r="AD17" s="3" t="s">
        <v>1183</v>
      </c>
      <c r="AE17" s="3">
        <v>150</v>
      </c>
      <c r="AF17" s="5">
        <v>75</v>
      </c>
      <c r="AG17" s="3" t="s">
        <v>1214</v>
      </c>
      <c r="AH17" s="3">
        <v>50</v>
      </c>
      <c r="AI17" s="3">
        <v>100</v>
      </c>
      <c r="AJ17" s="3">
        <v>15</v>
      </c>
      <c r="AK17" s="3">
        <v>20</v>
      </c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6">
        <v>60</v>
      </c>
      <c r="BF17" s="6">
        <v>9446</v>
      </c>
      <c r="BG17" s="6">
        <v>186</v>
      </c>
    </row>
    <row r="18" spans="1:59" ht="15.75" x14ac:dyDescent="0.25">
      <c r="A18" s="3">
        <v>16</v>
      </c>
      <c r="B18" s="3" t="s">
        <v>881</v>
      </c>
      <c r="C18" s="3" t="s">
        <v>868</v>
      </c>
      <c r="D18" s="3" t="s">
        <v>1215</v>
      </c>
      <c r="E18" s="3" t="s">
        <v>869</v>
      </c>
      <c r="F18" s="3" t="s">
        <v>1216</v>
      </c>
      <c r="G18" s="3" t="s">
        <v>882</v>
      </c>
      <c r="H18" s="3" t="s">
        <v>883</v>
      </c>
      <c r="I18" s="3"/>
      <c r="J18" s="4" t="b">
        <v>1</v>
      </c>
      <c r="K18" s="3">
        <f t="shared" si="1"/>
        <v>45</v>
      </c>
      <c r="L18" s="3"/>
      <c r="M18" s="3"/>
      <c r="N18" s="3" t="b">
        <v>0</v>
      </c>
      <c r="O18" s="3"/>
      <c r="P18" s="3">
        <v>29.700000762939499</v>
      </c>
      <c r="Q18" s="3" t="s">
        <v>1217</v>
      </c>
      <c r="R18" s="3" t="s">
        <v>1181</v>
      </c>
      <c r="S18" s="3" t="s">
        <v>884</v>
      </c>
      <c r="T18" s="3" t="s">
        <v>26</v>
      </c>
      <c r="U18" s="3" t="b">
        <v>0</v>
      </c>
      <c r="V18" s="3">
        <v>0.34999999403953602</v>
      </c>
      <c r="W18" s="3" t="e">
        <f t="shared" si="0"/>
        <v>#VALUE!</v>
      </c>
      <c r="X18" s="3">
        <v>9</v>
      </c>
      <c r="Y18" s="3">
        <v>0.79500001668930098</v>
      </c>
      <c r="Z18" s="3"/>
      <c r="AA18" s="3" t="str">
        <f t="shared" si="2"/>
        <v>Species</v>
      </c>
      <c r="AB18" s="3">
        <v>30</v>
      </c>
      <c r="AC18" s="3">
        <v>60</v>
      </c>
      <c r="AD18" s="3" t="s">
        <v>1208</v>
      </c>
      <c r="AE18" s="3">
        <v>30</v>
      </c>
      <c r="AF18" s="5">
        <v>45</v>
      </c>
      <c r="AG18" s="3" t="s">
        <v>1218</v>
      </c>
      <c r="AH18" s="3">
        <v>30</v>
      </c>
      <c r="AI18" s="3">
        <v>60</v>
      </c>
      <c r="AJ18" s="3">
        <v>15</v>
      </c>
      <c r="AK18" s="3">
        <v>25</v>
      </c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6">
        <v>92.1</v>
      </c>
      <c r="BF18" s="6">
        <v>60</v>
      </c>
      <c r="BG18" s="6">
        <v>147</v>
      </c>
    </row>
    <row r="19" spans="1:59" ht="15.75" x14ac:dyDescent="0.25">
      <c r="A19" s="3">
        <v>17</v>
      </c>
      <c r="B19" s="3" t="s">
        <v>891</v>
      </c>
      <c r="C19" s="3" t="s">
        <v>868</v>
      </c>
      <c r="D19" s="3" t="s">
        <v>1215</v>
      </c>
      <c r="E19" s="3" t="s">
        <v>869</v>
      </c>
      <c r="F19" s="3" t="s">
        <v>1219</v>
      </c>
      <c r="G19" s="3" t="s">
        <v>892</v>
      </c>
      <c r="H19" s="3" t="s">
        <v>893</v>
      </c>
      <c r="I19" s="3"/>
      <c r="J19" s="4" t="b">
        <v>1</v>
      </c>
      <c r="K19" s="3">
        <f t="shared" si="1"/>
        <v>45</v>
      </c>
      <c r="L19" s="3"/>
      <c r="M19" s="3"/>
      <c r="N19" s="3" t="b">
        <v>1</v>
      </c>
      <c r="O19" s="3"/>
      <c r="P19" s="3">
        <v>31.799999237060501</v>
      </c>
      <c r="Q19" s="3" t="s">
        <v>1220</v>
      </c>
      <c r="R19" s="3" t="s">
        <v>1181</v>
      </c>
      <c r="S19" s="3" t="s">
        <v>894</v>
      </c>
      <c r="T19" s="3" t="s">
        <v>26</v>
      </c>
      <c r="U19" s="3" t="b">
        <v>0</v>
      </c>
      <c r="V19" s="3">
        <v>0.479999989271164</v>
      </c>
      <c r="W19" s="3" t="e">
        <f t="shared" si="0"/>
        <v>#VALUE!</v>
      </c>
      <c r="X19" s="3">
        <v>9</v>
      </c>
      <c r="Y19" s="3">
        <v>0.74000000953674305</v>
      </c>
      <c r="Z19" s="3"/>
      <c r="AA19" s="3" t="str">
        <f t="shared" si="2"/>
        <v>Species</v>
      </c>
      <c r="AB19" s="3">
        <v>40</v>
      </c>
      <c r="AC19" s="3" t="s">
        <v>1183</v>
      </c>
      <c r="AD19" s="3" t="s">
        <v>1183</v>
      </c>
      <c r="AE19" s="3">
        <v>40</v>
      </c>
      <c r="AF19" s="5">
        <v>45</v>
      </c>
      <c r="AG19" s="3" t="s">
        <v>1221</v>
      </c>
      <c r="AH19" s="3">
        <v>30</v>
      </c>
      <c r="AI19" s="3">
        <v>60</v>
      </c>
      <c r="AJ19" s="3">
        <v>12</v>
      </c>
      <c r="AK19" s="3">
        <v>20</v>
      </c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6">
        <v>33</v>
      </c>
      <c r="BF19" s="6">
        <v>533</v>
      </c>
      <c r="BG19" s="6">
        <v>193</v>
      </c>
    </row>
    <row r="20" spans="1:59" ht="15.75" x14ac:dyDescent="0.25">
      <c r="A20" s="3">
        <v>18</v>
      </c>
      <c r="B20" s="3" t="s">
        <v>560</v>
      </c>
      <c r="C20" s="3" t="s">
        <v>561</v>
      </c>
      <c r="D20" s="3" t="s">
        <v>1222</v>
      </c>
      <c r="E20" s="3" t="s">
        <v>562</v>
      </c>
      <c r="F20" s="3" t="s">
        <v>1223</v>
      </c>
      <c r="G20" s="3" t="s">
        <v>563</v>
      </c>
      <c r="H20" s="3" t="s">
        <v>564</v>
      </c>
      <c r="I20" s="3"/>
      <c r="J20" s="4" t="b">
        <v>1</v>
      </c>
      <c r="K20" s="3">
        <f t="shared" si="1"/>
        <v>60</v>
      </c>
      <c r="L20" s="3"/>
      <c r="M20" s="3"/>
      <c r="N20" s="3" t="b">
        <v>1</v>
      </c>
      <c r="O20" s="3"/>
      <c r="P20" s="3">
        <v>82.5</v>
      </c>
      <c r="Q20" s="3" t="s">
        <v>1213</v>
      </c>
      <c r="R20" s="3" t="s">
        <v>1181</v>
      </c>
      <c r="S20" s="3" t="s">
        <v>99</v>
      </c>
      <c r="T20" s="3" t="s">
        <v>26</v>
      </c>
      <c r="U20" s="3" t="b">
        <v>0</v>
      </c>
      <c r="V20" s="3">
        <v>0.62999999523162797</v>
      </c>
      <c r="W20" s="3" t="e">
        <f t="shared" si="0"/>
        <v>#VALUE!</v>
      </c>
      <c r="X20" s="3">
        <v>9</v>
      </c>
      <c r="Y20" s="3">
        <v>0.87999999523162797</v>
      </c>
      <c r="Z20" s="3"/>
      <c r="AA20" s="3" t="str">
        <f t="shared" si="2"/>
        <v>Species</v>
      </c>
      <c r="AB20" s="3">
        <v>100</v>
      </c>
      <c r="AC20" s="3" t="s">
        <v>1183</v>
      </c>
      <c r="AD20" s="3" t="s">
        <v>1183</v>
      </c>
      <c r="AE20" s="3">
        <v>100</v>
      </c>
      <c r="AF20" s="5">
        <v>60</v>
      </c>
      <c r="AG20" s="3" t="s">
        <v>1224</v>
      </c>
      <c r="AH20" s="3">
        <v>40</v>
      </c>
      <c r="AI20" s="3">
        <v>80</v>
      </c>
      <c r="AJ20" s="3">
        <v>18</v>
      </c>
      <c r="AK20" s="3">
        <v>22</v>
      </c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6">
        <v>52</v>
      </c>
      <c r="BF20" s="6">
        <v>2806</v>
      </c>
      <c r="BG20" s="6">
        <v>175</v>
      </c>
    </row>
    <row r="21" spans="1:59" ht="15.75" x14ac:dyDescent="0.25">
      <c r="A21" s="3">
        <v>19</v>
      </c>
      <c r="B21" s="3" t="s">
        <v>94</v>
      </c>
      <c r="C21" s="3" t="s">
        <v>95</v>
      </c>
      <c r="D21" s="3" t="s">
        <v>1225</v>
      </c>
      <c r="E21" s="3" t="s">
        <v>96</v>
      </c>
      <c r="F21" s="3" t="s">
        <v>1226</v>
      </c>
      <c r="G21" s="3" t="s">
        <v>97</v>
      </c>
      <c r="H21" s="3" t="s">
        <v>98</v>
      </c>
      <c r="I21" s="3"/>
      <c r="J21" s="4" t="b">
        <v>1</v>
      </c>
      <c r="K21" s="3">
        <f t="shared" si="1"/>
        <v>80</v>
      </c>
      <c r="L21" s="3"/>
      <c r="M21" s="3"/>
      <c r="N21" s="3" t="b">
        <v>0</v>
      </c>
      <c r="O21" s="3"/>
      <c r="P21" s="3">
        <v>67.800003051757798</v>
      </c>
      <c r="Q21" s="3"/>
      <c r="R21" s="3" t="s">
        <v>1181</v>
      </c>
      <c r="S21" s="3" t="s">
        <v>99</v>
      </c>
      <c r="T21" s="3" t="s">
        <v>26</v>
      </c>
      <c r="U21" s="3" t="b">
        <v>0</v>
      </c>
      <c r="V21" s="3">
        <v>0.69999998807907104</v>
      </c>
      <c r="W21" s="3" t="e">
        <f t="shared" si="0"/>
        <v>#VALUE!</v>
      </c>
      <c r="X21" s="3">
        <v>9</v>
      </c>
      <c r="Y21" s="3">
        <v>0.87999999523162797</v>
      </c>
      <c r="Z21" s="3"/>
      <c r="AA21" s="3" t="str">
        <f t="shared" si="2"/>
        <v>Species</v>
      </c>
      <c r="AB21" s="3">
        <v>100</v>
      </c>
      <c r="AC21" s="3" t="s">
        <v>1183</v>
      </c>
      <c r="AD21" s="3" t="s">
        <v>1183</v>
      </c>
      <c r="AE21" s="3">
        <v>100</v>
      </c>
      <c r="AF21" s="5">
        <v>80</v>
      </c>
      <c r="AG21" s="3" t="s">
        <v>1227</v>
      </c>
      <c r="AH21" s="3">
        <v>60</v>
      </c>
      <c r="AI21" s="3">
        <v>100</v>
      </c>
      <c r="AJ21" s="3">
        <v>18</v>
      </c>
      <c r="AK21" s="3">
        <v>24</v>
      </c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6">
        <v>69.700000000000017</v>
      </c>
      <c r="BF21" s="6">
        <v>224</v>
      </c>
      <c r="BG21" s="6">
        <v>113</v>
      </c>
    </row>
    <row r="22" spans="1:59" ht="15.75" x14ac:dyDescent="0.25">
      <c r="A22" s="3">
        <v>20</v>
      </c>
      <c r="B22" s="3" t="s">
        <v>495</v>
      </c>
      <c r="C22" s="3" t="s">
        <v>17</v>
      </c>
      <c r="D22" s="3" t="s">
        <v>1228</v>
      </c>
      <c r="E22" s="3" t="s">
        <v>491</v>
      </c>
      <c r="F22" s="3" t="s">
        <v>1229</v>
      </c>
      <c r="G22" s="3" t="s">
        <v>496</v>
      </c>
      <c r="H22" s="3" t="s">
        <v>497</v>
      </c>
      <c r="I22" s="3"/>
      <c r="J22" s="4" t="b">
        <v>1</v>
      </c>
      <c r="K22" s="3">
        <f t="shared" si="1"/>
        <v>15</v>
      </c>
      <c r="L22" s="3"/>
      <c r="M22" s="3"/>
      <c r="N22" s="3" t="b">
        <v>0</v>
      </c>
      <c r="O22" s="3"/>
      <c r="P22" s="3">
        <v>20.700000762939499</v>
      </c>
      <c r="Q22" s="3"/>
      <c r="R22" s="3" t="s">
        <v>1181</v>
      </c>
      <c r="S22" s="3" t="s">
        <v>118</v>
      </c>
      <c r="T22" s="3" t="s">
        <v>26</v>
      </c>
      <c r="U22" s="3" t="b">
        <v>0</v>
      </c>
      <c r="V22" s="3">
        <v>0.69999998807907104</v>
      </c>
      <c r="W22" s="3" t="e">
        <f t="shared" si="0"/>
        <v>#VALUE!</v>
      </c>
      <c r="X22" s="3">
        <v>9</v>
      </c>
      <c r="Y22" s="3">
        <v>0.79000002145767201</v>
      </c>
      <c r="Z22" s="3"/>
      <c r="AA22" s="3" t="str">
        <f t="shared" si="2"/>
        <v>Species</v>
      </c>
      <c r="AB22" s="3">
        <v>25</v>
      </c>
      <c r="AC22" s="3" t="s">
        <v>1183</v>
      </c>
      <c r="AD22" s="3" t="s">
        <v>1183</v>
      </c>
      <c r="AE22" s="3">
        <v>25</v>
      </c>
      <c r="AF22" s="5">
        <v>15</v>
      </c>
      <c r="AG22" s="3" t="s">
        <v>1230</v>
      </c>
      <c r="AH22" s="3">
        <v>10</v>
      </c>
      <c r="AI22" s="3">
        <v>20</v>
      </c>
      <c r="AJ22" s="3">
        <v>4</v>
      </c>
      <c r="AK22" s="3">
        <v>9</v>
      </c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6">
        <v>15.400000000000006</v>
      </c>
      <c r="BF22" s="6">
        <v>30</v>
      </c>
      <c r="BG22" s="6">
        <v>35</v>
      </c>
    </row>
    <row r="23" spans="1:59" ht="15.75" x14ac:dyDescent="0.25">
      <c r="A23" s="3">
        <v>21</v>
      </c>
      <c r="B23" s="3" t="s">
        <v>103</v>
      </c>
      <c r="C23" s="3" t="s">
        <v>95</v>
      </c>
      <c r="D23" s="3" t="s">
        <v>1225</v>
      </c>
      <c r="E23" s="3" t="s">
        <v>96</v>
      </c>
      <c r="F23" s="3" t="s">
        <v>1231</v>
      </c>
      <c r="G23" s="3" t="s">
        <v>104</v>
      </c>
      <c r="H23" s="3" t="s">
        <v>105</v>
      </c>
      <c r="I23" s="3"/>
      <c r="J23" s="4" t="b">
        <v>0</v>
      </c>
      <c r="K23" s="3">
        <f t="shared" si="1"/>
        <v>100</v>
      </c>
      <c r="L23" s="3"/>
      <c r="M23" s="3"/>
      <c r="N23" s="3" t="b">
        <v>0</v>
      </c>
      <c r="O23" s="3"/>
      <c r="P23" s="3">
        <v>83.099998474121094</v>
      </c>
      <c r="Q23" s="3"/>
      <c r="R23" s="3" t="s">
        <v>1181</v>
      </c>
      <c r="S23" s="3" t="s">
        <v>65</v>
      </c>
      <c r="T23" s="3" t="s">
        <v>26</v>
      </c>
      <c r="U23" s="3" t="b">
        <v>0</v>
      </c>
      <c r="V23" s="3">
        <v>0.82999998331069902</v>
      </c>
      <c r="W23" s="3" t="e">
        <f t="shared" si="0"/>
        <v>#VALUE!</v>
      </c>
      <c r="X23" s="3">
        <v>9</v>
      </c>
      <c r="Y23" s="3">
        <v>0.87999999523162797</v>
      </c>
      <c r="Z23" s="3"/>
      <c r="AA23" s="3" t="str">
        <f t="shared" si="2"/>
        <v>Species</v>
      </c>
      <c r="AB23" s="3">
        <v>120</v>
      </c>
      <c r="AC23" s="3">
        <v>180</v>
      </c>
      <c r="AD23" s="3" t="s">
        <v>1194</v>
      </c>
      <c r="AE23" s="3">
        <v>120</v>
      </c>
      <c r="AF23" s="5">
        <v>100</v>
      </c>
      <c r="AG23" s="3" t="s">
        <v>1183</v>
      </c>
      <c r="AH23" s="3" t="s">
        <v>1183</v>
      </c>
      <c r="AI23" s="3" t="s">
        <v>1183</v>
      </c>
      <c r="AJ23" s="3" t="s">
        <v>1183</v>
      </c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6">
        <v>50.680000305175795</v>
      </c>
      <c r="BF23" s="6">
        <v>145</v>
      </c>
      <c r="BG23" s="6">
        <v>100.01</v>
      </c>
    </row>
    <row r="24" spans="1:59" ht="15.75" x14ac:dyDescent="0.25">
      <c r="A24" s="3">
        <v>22</v>
      </c>
      <c r="B24" s="3" t="s">
        <v>100</v>
      </c>
      <c r="C24" s="3" t="s">
        <v>95</v>
      </c>
      <c r="D24" s="3" t="s">
        <v>1225</v>
      </c>
      <c r="E24" s="3" t="s">
        <v>96</v>
      </c>
      <c r="F24" s="3" t="s">
        <v>1232</v>
      </c>
      <c r="G24" s="3" t="s">
        <v>101</v>
      </c>
      <c r="H24" s="3" t="s">
        <v>1233</v>
      </c>
      <c r="I24" s="3"/>
      <c r="J24" s="4" t="s">
        <v>1188</v>
      </c>
      <c r="K24" s="3" t="str">
        <f t="shared" si="1"/>
        <v/>
      </c>
      <c r="L24" s="3"/>
      <c r="M24" s="3"/>
      <c r="N24" s="3" t="b">
        <v>0</v>
      </c>
      <c r="O24" s="3"/>
      <c r="P24" s="3">
        <v>40</v>
      </c>
      <c r="Q24" s="3"/>
      <c r="R24" s="3" t="s">
        <v>1181</v>
      </c>
      <c r="S24" s="3"/>
      <c r="T24" s="3" t="s">
        <v>26</v>
      </c>
      <c r="U24" s="3"/>
      <c r="V24" s="3"/>
      <c r="W24" s="3" t="str">
        <f t="shared" si="0"/>
        <v/>
      </c>
      <c r="X24" s="3">
        <v>9</v>
      </c>
      <c r="Y24" s="3">
        <v>0.87999999523162797</v>
      </c>
      <c r="Z24" s="3"/>
      <c r="AA24" s="3" t="str">
        <f t="shared" si="2"/>
        <v>Genus</v>
      </c>
      <c r="AB24" s="3" t="s">
        <v>1183</v>
      </c>
      <c r="AC24" s="3" t="s">
        <v>1183</v>
      </c>
      <c r="AD24" s="3" t="s">
        <v>1183</v>
      </c>
      <c r="AE24" s="3" t="s">
        <v>1183</v>
      </c>
      <c r="AF24" s="5"/>
      <c r="AG24" s="3" t="s">
        <v>1183</v>
      </c>
      <c r="AH24" s="3" t="s">
        <v>1183</v>
      </c>
      <c r="AI24" s="3" t="s">
        <v>1183</v>
      </c>
      <c r="AJ24" s="3" t="s">
        <v>1183</v>
      </c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6">
        <v>44.400000000000006</v>
      </c>
      <c r="BF24" s="6">
        <v>49</v>
      </c>
      <c r="BG24" s="6">
        <v>73</v>
      </c>
    </row>
    <row r="25" spans="1:59" ht="15.75" x14ac:dyDescent="0.25">
      <c r="A25" s="3">
        <v>312</v>
      </c>
      <c r="B25" s="3" t="s">
        <v>119</v>
      </c>
      <c r="C25" s="3" t="s">
        <v>17</v>
      </c>
      <c r="D25" s="3" t="s">
        <v>1234</v>
      </c>
      <c r="E25" s="3" t="s">
        <v>107</v>
      </c>
      <c r="F25" s="3" t="s">
        <v>1711</v>
      </c>
      <c r="G25" s="3" t="s">
        <v>120</v>
      </c>
      <c r="H25" s="3" t="s">
        <v>121</v>
      </c>
      <c r="I25" s="3"/>
      <c r="J25" s="4" t="b">
        <v>0</v>
      </c>
      <c r="K25" s="3">
        <f t="shared" si="1"/>
        <v>15</v>
      </c>
      <c r="L25" s="3"/>
      <c r="M25" s="3"/>
      <c r="N25" s="3" t="b">
        <v>0</v>
      </c>
      <c r="O25" s="3"/>
      <c r="P25" s="3"/>
      <c r="Q25" s="3"/>
      <c r="R25" s="3" t="s">
        <v>1181</v>
      </c>
      <c r="S25" s="3" t="s">
        <v>122</v>
      </c>
      <c r="T25" s="3" t="s">
        <v>26</v>
      </c>
      <c r="U25" s="3" t="b">
        <v>1</v>
      </c>
      <c r="V25" s="3"/>
      <c r="W25" s="3" t="e">
        <f t="shared" si="0"/>
        <v>#VALUE!</v>
      </c>
      <c r="X25" s="3">
        <v>9</v>
      </c>
      <c r="Y25" s="3">
        <v>0.81999999284744296</v>
      </c>
      <c r="Z25" s="3"/>
      <c r="AA25" s="3" t="str">
        <f t="shared" si="2"/>
        <v>Species</v>
      </c>
      <c r="AB25" s="3"/>
      <c r="AC25" s="3" t="s">
        <v>1183</v>
      </c>
      <c r="AD25" s="3" t="s">
        <v>1183</v>
      </c>
      <c r="AE25" s="3"/>
      <c r="AF25" s="5">
        <v>15</v>
      </c>
      <c r="AG25" s="3" t="s">
        <v>1235</v>
      </c>
      <c r="AH25" s="3">
        <v>10</v>
      </c>
      <c r="AI25" s="3">
        <v>15</v>
      </c>
      <c r="AJ25" s="3">
        <v>7</v>
      </c>
      <c r="AK25" s="3">
        <v>15</v>
      </c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6">
        <v>33</v>
      </c>
      <c r="BF25" s="6">
        <v>1</v>
      </c>
      <c r="BG25" s="6">
        <v>33</v>
      </c>
    </row>
    <row r="26" spans="1:59" ht="15.75" x14ac:dyDescent="0.25">
      <c r="A26" s="3">
        <v>23</v>
      </c>
      <c r="B26" s="3" t="s">
        <v>115</v>
      </c>
      <c r="C26" s="3" t="s">
        <v>17</v>
      </c>
      <c r="D26" s="3" t="s">
        <v>1234</v>
      </c>
      <c r="E26" s="3" t="s">
        <v>107</v>
      </c>
      <c r="F26" s="3" t="s">
        <v>1236</v>
      </c>
      <c r="G26" s="3" t="s">
        <v>116</v>
      </c>
      <c r="H26" s="3" t="s">
        <v>117</v>
      </c>
      <c r="I26" s="3"/>
      <c r="J26" s="4" t="b">
        <v>1</v>
      </c>
      <c r="K26" s="3" t="str">
        <f t="shared" si="1"/>
        <v/>
      </c>
      <c r="L26" s="3"/>
      <c r="M26" s="3"/>
      <c r="N26" s="3" t="b">
        <v>0</v>
      </c>
      <c r="O26" s="3"/>
      <c r="P26" s="3">
        <v>60</v>
      </c>
      <c r="Q26" s="3"/>
      <c r="R26" s="3" t="s">
        <v>1181</v>
      </c>
      <c r="S26" s="3" t="s">
        <v>118</v>
      </c>
      <c r="T26" s="3" t="s">
        <v>26</v>
      </c>
      <c r="U26" s="3" t="b">
        <v>1</v>
      </c>
      <c r="V26" s="3">
        <v>0.55000001192092896</v>
      </c>
      <c r="W26" s="3" t="e">
        <f t="shared" si="0"/>
        <v>#VALUE!</v>
      </c>
      <c r="X26" s="3">
        <v>9</v>
      </c>
      <c r="Y26" s="3">
        <v>0.81999999284744296</v>
      </c>
      <c r="Z26" s="3"/>
      <c r="AA26" s="3" t="str">
        <f t="shared" si="2"/>
        <v>Species</v>
      </c>
      <c r="AB26" s="3" t="s">
        <v>1183</v>
      </c>
      <c r="AC26" s="3" t="s">
        <v>1183</v>
      </c>
      <c r="AD26" s="3" t="s">
        <v>1183</v>
      </c>
      <c r="AE26" s="3" t="s">
        <v>1183</v>
      </c>
      <c r="AF26" s="5" t="s">
        <v>1183</v>
      </c>
      <c r="AG26" s="3" t="s">
        <v>1183</v>
      </c>
      <c r="AH26" s="3" t="s">
        <v>1183</v>
      </c>
      <c r="AI26" s="3" t="s">
        <v>1183</v>
      </c>
      <c r="AJ26" s="3" t="s">
        <v>1183</v>
      </c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6">
        <v>23.1</v>
      </c>
      <c r="BF26" s="6">
        <v>4</v>
      </c>
      <c r="BG26" s="6">
        <v>24</v>
      </c>
    </row>
    <row r="27" spans="1:59" ht="15.75" x14ac:dyDescent="0.25">
      <c r="A27" s="3">
        <v>24</v>
      </c>
      <c r="B27" s="3" t="s">
        <v>129</v>
      </c>
      <c r="C27" s="3" t="s">
        <v>17</v>
      </c>
      <c r="D27" s="3" t="s">
        <v>1234</v>
      </c>
      <c r="E27" s="3" t="s">
        <v>107</v>
      </c>
      <c r="F27" s="3" t="s">
        <v>1237</v>
      </c>
      <c r="G27" s="3" t="s">
        <v>130</v>
      </c>
      <c r="H27" s="3" t="s">
        <v>131</v>
      </c>
      <c r="I27" s="3" t="s">
        <v>1238</v>
      </c>
      <c r="J27" s="4" t="b">
        <v>0</v>
      </c>
      <c r="K27" s="3">
        <f t="shared" si="1"/>
        <v>30</v>
      </c>
      <c r="L27" s="3"/>
      <c r="M27" s="3"/>
      <c r="N27" s="3" t="b">
        <v>1</v>
      </c>
      <c r="O27" s="3"/>
      <c r="P27" s="3">
        <v>60</v>
      </c>
      <c r="Q27" s="3" t="s">
        <v>1239</v>
      </c>
      <c r="R27" s="3" t="s">
        <v>1181</v>
      </c>
      <c r="S27" s="3" t="s">
        <v>132</v>
      </c>
      <c r="T27" s="3" t="s">
        <v>26</v>
      </c>
      <c r="U27" s="3" t="b">
        <v>0</v>
      </c>
      <c r="V27" s="3">
        <v>0.5</v>
      </c>
      <c r="W27" s="3" t="e">
        <f t="shared" si="0"/>
        <v>#VALUE!</v>
      </c>
      <c r="X27" s="3">
        <v>9</v>
      </c>
      <c r="Y27" s="3">
        <v>0.81999999284744296</v>
      </c>
      <c r="Z27" s="3"/>
      <c r="AA27" s="3" t="str">
        <f t="shared" si="2"/>
        <v>Species</v>
      </c>
      <c r="AB27" s="3" t="s">
        <v>1183</v>
      </c>
      <c r="AC27" s="3">
        <v>30</v>
      </c>
      <c r="AD27" s="3" t="s">
        <v>1208</v>
      </c>
      <c r="AE27" s="3" t="s">
        <v>1183</v>
      </c>
      <c r="AF27" s="5">
        <v>30</v>
      </c>
      <c r="AG27" s="3" t="s">
        <v>1240</v>
      </c>
      <c r="AH27" s="3" t="s">
        <v>1183</v>
      </c>
      <c r="AI27" s="3">
        <v>30</v>
      </c>
      <c r="AJ27" s="3" t="s">
        <v>1183</v>
      </c>
      <c r="AK27" s="3">
        <v>15</v>
      </c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6">
        <v>31</v>
      </c>
      <c r="BF27" s="6">
        <v>300</v>
      </c>
      <c r="BG27" s="6">
        <v>60.8</v>
      </c>
    </row>
    <row r="28" spans="1:59" ht="15.75" x14ac:dyDescent="0.25">
      <c r="A28" s="3">
        <v>25</v>
      </c>
      <c r="B28" s="3" t="s">
        <v>133</v>
      </c>
      <c r="C28" s="3" t="s">
        <v>17</v>
      </c>
      <c r="D28" s="3" t="s">
        <v>1234</v>
      </c>
      <c r="E28" s="3" t="s">
        <v>107</v>
      </c>
      <c r="F28" s="3" t="s">
        <v>1241</v>
      </c>
      <c r="G28" s="3" t="s">
        <v>134</v>
      </c>
      <c r="H28" s="3" t="s">
        <v>135</v>
      </c>
      <c r="I28" s="3"/>
      <c r="J28" s="4" t="b">
        <v>1</v>
      </c>
      <c r="K28" s="3">
        <f t="shared" si="1"/>
        <v>15</v>
      </c>
      <c r="L28" s="3"/>
      <c r="M28" s="3"/>
      <c r="N28" s="3" t="b">
        <v>0</v>
      </c>
      <c r="O28" s="3"/>
      <c r="P28" s="3">
        <v>39.900001525878899</v>
      </c>
      <c r="Q28" s="3"/>
      <c r="R28" s="3" t="s">
        <v>1181</v>
      </c>
      <c r="S28" s="3" t="s">
        <v>136</v>
      </c>
      <c r="T28" s="3" t="s">
        <v>26</v>
      </c>
      <c r="U28" s="3" t="b">
        <v>0</v>
      </c>
      <c r="V28" s="3">
        <v>0.55000001192092896</v>
      </c>
      <c r="W28" s="3" t="e">
        <f t="shared" si="0"/>
        <v>#VALUE!</v>
      </c>
      <c r="X28" s="3">
        <v>9</v>
      </c>
      <c r="Y28" s="3">
        <v>0.81999999284744296</v>
      </c>
      <c r="Z28" s="3"/>
      <c r="AA28" s="3" t="str">
        <f t="shared" si="2"/>
        <v>Species</v>
      </c>
      <c r="AB28" s="3">
        <v>15</v>
      </c>
      <c r="AC28" s="3" t="s">
        <v>1183</v>
      </c>
      <c r="AD28" s="3" t="s">
        <v>1183</v>
      </c>
      <c r="AE28" s="3">
        <v>15</v>
      </c>
      <c r="AF28" s="5">
        <v>15</v>
      </c>
      <c r="AG28" s="3" t="s">
        <v>1242</v>
      </c>
      <c r="AH28" s="3">
        <v>10</v>
      </c>
      <c r="AI28" s="3">
        <v>15</v>
      </c>
      <c r="AJ28" s="3">
        <v>4</v>
      </c>
      <c r="AK28" s="3">
        <v>8</v>
      </c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6">
        <v>40.300000000000011</v>
      </c>
      <c r="BF28" s="6">
        <v>198</v>
      </c>
      <c r="BG28" s="6">
        <v>145</v>
      </c>
    </row>
    <row r="29" spans="1:59" ht="15.75" x14ac:dyDescent="0.25">
      <c r="A29" s="3">
        <v>26</v>
      </c>
      <c r="B29" s="3" t="s">
        <v>106</v>
      </c>
      <c r="C29" s="3" t="s">
        <v>17</v>
      </c>
      <c r="D29" s="3" t="s">
        <v>1234</v>
      </c>
      <c r="E29" s="3" t="s">
        <v>107</v>
      </c>
      <c r="F29" s="3" t="s">
        <v>1243</v>
      </c>
      <c r="G29" s="3" t="s">
        <v>108</v>
      </c>
      <c r="H29" s="3" t="s">
        <v>109</v>
      </c>
      <c r="I29" s="3"/>
      <c r="J29" s="4" t="b">
        <v>0</v>
      </c>
      <c r="K29" s="3">
        <f t="shared" si="1"/>
        <v>20</v>
      </c>
      <c r="L29" s="3"/>
      <c r="M29" s="3"/>
      <c r="N29" s="3" t="b">
        <v>0</v>
      </c>
      <c r="O29" s="3"/>
      <c r="P29" s="3">
        <v>40</v>
      </c>
      <c r="Q29" s="3"/>
      <c r="R29" s="3" t="s">
        <v>1181</v>
      </c>
      <c r="S29" s="3" t="s">
        <v>110</v>
      </c>
      <c r="T29" s="3" t="s">
        <v>26</v>
      </c>
      <c r="U29" s="3" t="b">
        <v>0</v>
      </c>
      <c r="V29" s="3">
        <v>0.55000001192092896</v>
      </c>
      <c r="W29" s="3" t="e">
        <f t="shared" si="0"/>
        <v>#VALUE!</v>
      </c>
      <c r="X29" s="3">
        <v>9</v>
      </c>
      <c r="Y29" s="3">
        <v>0.81999999284744296</v>
      </c>
      <c r="Z29" s="3"/>
      <c r="AA29" s="3" t="str">
        <f t="shared" si="2"/>
        <v>Species</v>
      </c>
      <c r="AB29" s="3" t="s">
        <v>1183</v>
      </c>
      <c r="AC29" s="3" t="s">
        <v>1183</v>
      </c>
      <c r="AD29" s="3" t="s">
        <v>1183</v>
      </c>
      <c r="AE29" s="3" t="s">
        <v>1183</v>
      </c>
      <c r="AF29" s="5">
        <v>20</v>
      </c>
      <c r="AG29" s="3" t="s">
        <v>1183</v>
      </c>
      <c r="AH29" s="3" t="s">
        <v>1183</v>
      </c>
      <c r="AI29" s="3" t="s">
        <v>1183</v>
      </c>
      <c r="AJ29" s="3" t="s">
        <v>1183</v>
      </c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6">
        <v>22.400000000000006</v>
      </c>
      <c r="BF29" s="6">
        <v>23</v>
      </c>
      <c r="BG29" s="6">
        <v>45</v>
      </c>
    </row>
    <row r="30" spans="1:59" ht="15.75" x14ac:dyDescent="0.25">
      <c r="A30" s="3">
        <v>27</v>
      </c>
      <c r="B30" s="3" t="s">
        <v>123</v>
      </c>
      <c r="C30" s="3" t="s">
        <v>17</v>
      </c>
      <c r="D30" s="3" t="s">
        <v>1234</v>
      </c>
      <c r="E30" s="3" t="s">
        <v>107</v>
      </c>
      <c r="F30" s="3" t="s">
        <v>1244</v>
      </c>
      <c r="G30" s="3" t="s">
        <v>124</v>
      </c>
      <c r="H30" s="3" t="s">
        <v>125</v>
      </c>
      <c r="I30" s="3"/>
      <c r="J30" s="4" t="b">
        <v>0</v>
      </c>
      <c r="K30" s="3">
        <f t="shared" si="1"/>
        <v>25</v>
      </c>
      <c r="L30" s="3"/>
      <c r="M30" s="3"/>
      <c r="N30" s="3" t="b">
        <v>1</v>
      </c>
      <c r="O30" s="3"/>
      <c r="P30" s="3">
        <v>60</v>
      </c>
      <c r="Q30" s="3"/>
      <c r="R30" s="3" t="s">
        <v>1181</v>
      </c>
      <c r="S30" s="3"/>
      <c r="T30" s="3" t="s">
        <v>26</v>
      </c>
      <c r="U30" s="3" t="b">
        <v>0</v>
      </c>
      <c r="V30" s="3">
        <v>0.69999998807907104</v>
      </c>
      <c r="W30" s="3" t="str">
        <f t="shared" si="0"/>
        <v/>
      </c>
      <c r="X30" s="3">
        <v>9</v>
      </c>
      <c r="Y30" s="3">
        <v>0.81999999284744296</v>
      </c>
      <c r="Z30" s="3"/>
      <c r="AA30" s="3" t="str">
        <f t="shared" si="2"/>
        <v>Species</v>
      </c>
      <c r="AB30" s="3" t="s">
        <v>1183</v>
      </c>
      <c r="AC30" s="3" t="s">
        <v>1183</v>
      </c>
      <c r="AD30" s="3" t="s">
        <v>1183</v>
      </c>
      <c r="AE30" s="3" t="s">
        <v>1183</v>
      </c>
      <c r="AF30" s="5">
        <v>25</v>
      </c>
      <c r="AG30" s="3" t="s">
        <v>1245</v>
      </c>
      <c r="AH30" s="3">
        <v>15</v>
      </c>
      <c r="AI30" s="3">
        <v>35</v>
      </c>
      <c r="AJ30" s="3">
        <v>3</v>
      </c>
      <c r="AK30" s="3">
        <v>10</v>
      </c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6">
        <v>8.6</v>
      </c>
      <c r="BF30" s="6">
        <v>15</v>
      </c>
      <c r="BG30" s="6">
        <v>16</v>
      </c>
    </row>
    <row r="31" spans="1:59" ht="15.75" x14ac:dyDescent="0.25">
      <c r="A31" s="3">
        <v>28</v>
      </c>
      <c r="B31" s="3" t="s">
        <v>137</v>
      </c>
      <c r="C31" s="3" t="s">
        <v>17</v>
      </c>
      <c r="D31" s="3" t="s">
        <v>1234</v>
      </c>
      <c r="E31" s="3" t="s">
        <v>107</v>
      </c>
      <c r="F31" s="3" t="s">
        <v>1246</v>
      </c>
      <c r="G31" s="3" t="s">
        <v>138</v>
      </c>
      <c r="H31" s="3" t="s">
        <v>1247</v>
      </c>
      <c r="I31" s="3"/>
      <c r="J31" s="4" t="s">
        <v>1188</v>
      </c>
      <c r="K31" s="3" t="str">
        <f t="shared" si="1"/>
        <v/>
      </c>
      <c r="L31" s="3"/>
      <c r="M31" s="3"/>
      <c r="N31" s="3" t="b">
        <v>0</v>
      </c>
      <c r="O31" s="3"/>
      <c r="P31" s="3">
        <v>40</v>
      </c>
      <c r="Q31" s="3"/>
      <c r="R31" s="3" t="s">
        <v>1181</v>
      </c>
      <c r="S31" s="3"/>
      <c r="T31" s="3" t="s">
        <v>26</v>
      </c>
      <c r="U31" s="3"/>
      <c r="V31" s="3"/>
      <c r="W31" s="3" t="str">
        <f t="shared" si="0"/>
        <v/>
      </c>
      <c r="X31" s="3">
        <v>9</v>
      </c>
      <c r="Y31" s="3">
        <v>0.81999999284744296</v>
      </c>
      <c r="Z31" s="3"/>
      <c r="AA31" s="3" t="str">
        <f t="shared" si="2"/>
        <v>Genus</v>
      </c>
      <c r="AB31" s="3" t="s">
        <v>1183</v>
      </c>
      <c r="AC31" s="3" t="s">
        <v>1183</v>
      </c>
      <c r="AD31" s="3" t="s">
        <v>1183</v>
      </c>
      <c r="AE31" s="3" t="s">
        <v>1183</v>
      </c>
      <c r="AF31" s="5"/>
      <c r="AG31" s="3" t="s">
        <v>1183</v>
      </c>
      <c r="AH31" s="3" t="s">
        <v>1183</v>
      </c>
      <c r="AI31" s="3" t="s">
        <v>1183</v>
      </c>
      <c r="AJ31" s="3" t="s">
        <v>1183</v>
      </c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6">
        <v>33.900000000000013</v>
      </c>
      <c r="BF31" s="6">
        <v>69</v>
      </c>
      <c r="BG31" s="6">
        <v>60</v>
      </c>
    </row>
    <row r="32" spans="1:59" ht="15.75" x14ac:dyDescent="0.25">
      <c r="A32" s="3">
        <v>29</v>
      </c>
      <c r="B32" s="3" t="s">
        <v>126</v>
      </c>
      <c r="C32" s="3" t="s">
        <v>17</v>
      </c>
      <c r="D32" s="3" t="s">
        <v>1234</v>
      </c>
      <c r="E32" s="3" t="s">
        <v>107</v>
      </c>
      <c r="F32" s="3" t="s">
        <v>1248</v>
      </c>
      <c r="G32" s="3" t="s">
        <v>127</v>
      </c>
      <c r="H32" s="3" t="s">
        <v>128</v>
      </c>
      <c r="I32" s="3"/>
      <c r="J32" s="4" t="b">
        <v>1</v>
      </c>
      <c r="K32" s="3">
        <f t="shared" si="1"/>
        <v>45</v>
      </c>
      <c r="L32" s="3"/>
      <c r="M32" s="3"/>
      <c r="N32" s="3" t="b">
        <v>1</v>
      </c>
      <c r="O32" s="3"/>
      <c r="P32" s="3">
        <v>40.200000762939503</v>
      </c>
      <c r="Q32" s="3" t="s">
        <v>1249</v>
      </c>
      <c r="R32" s="3" t="s">
        <v>1181</v>
      </c>
      <c r="S32" s="3" t="s">
        <v>122</v>
      </c>
      <c r="T32" s="3" t="s">
        <v>26</v>
      </c>
      <c r="U32" s="3" t="b">
        <v>0</v>
      </c>
      <c r="V32" s="3">
        <v>0.5</v>
      </c>
      <c r="W32" s="3" t="e">
        <f t="shared" si="0"/>
        <v>#VALUE!</v>
      </c>
      <c r="X32" s="3">
        <v>9</v>
      </c>
      <c r="Y32" s="3">
        <v>0.81999999284744296</v>
      </c>
      <c r="Z32" s="3"/>
      <c r="AA32" s="3" t="str">
        <f t="shared" si="2"/>
        <v>Species</v>
      </c>
      <c r="AB32" s="3">
        <v>40</v>
      </c>
      <c r="AC32" s="3" t="s">
        <v>1183</v>
      </c>
      <c r="AD32" s="3" t="s">
        <v>1183</v>
      </c>
      <c r="AE32" s="3">
        <v>40</v>
      </c>
      <c r="AF32" s="5">
        <v>45</v>
      </c>
      <c r="AG32" s="3" t="s">
        <v>1250</v>
      </c>
      <c r="AH32" s="3">
        <v>30</v>
      </c>
      <c r="AI32" s="3">
        <v>60</v>
      </c>
      <c r="AJ32" s="3">
        <v>15</v>
      </c>
      <c r="AK32" s="3">
        <v>25</v>
      </c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6">
        <v>50</v>
      </c>
      <c r="BF32" s="6">
        <v>4099</v>
      </c>
      <c r="BG32" s="6">
        <v>140</v>
      </c>
    </row>
    <row r="33" spans="1:59" ht="15.75" x14ac:dyDescent="0.25">
      <c r="A33" s="3">
        <v>30</v>
      </c>
      <c r="B33" s="3" t="s">
        <v>111</v>
      </c>
      <c r="C33" s="3" t="s">
        <v>17</v>
      </c>
      <c r="D33" s="3" t="s">
        <v>1234</v>
      </c>
      <c r="E33" s="3" t="s">
        <v>107</v>
      </c>
      <c r="F33" s="3" t="s">
        <v>1251</v>
      </c>
      <c r="G33" s="3" t="s">
        <v>112</v>
      </c>
      <c r="H33" s="3" t="s">
        <v>113</v>
      </c>
      <c r="I33" s="3"/>
      <c r="J33" s="4" t="b">
        <v>1</v>
      </c>
      <c r="K33" s="3">
        <f t="shared" si="1"/>
        <v>80</v>
      </c>
      <c r="L33" s="3"/>
      <c r="M33" s="3"/>
      <c r="N33" s="3" t="b">
        <v>0</v>
      </c>
      <c r="O33" s="3"/>
      <c r="P33" s="3">
        <v>69.900001525878906</v>
      </c>
      <c r="Q33" s="3" t="s">
        <v>1252</v>
      </c>
      <c r="R33" s="3" t="s">
        <v>1181</v>
      </c>
      <c r="S33" s="3" t="s">
        <v>114</v>
      </c>
      <c r="T33" s="3" t="s">
        <v>26</v>
      </c>
      <c r="U33" s="3" t="b">
        <v>0</v>
      </c>
      <c r="V33" s="3">
        <v>0.63999998569488503</v>
      </c>
      <c r="W33" s="3" t="e">
        <f t="shared" si="0"/>
        <v>#VALUE!</v>
      </c>
      <c r="X33" s="3">
        <v>9</v>
      </c>
      <c r="Y33" s="3">
        <v>0.81999999284744296</v>
      </c>
      <c r="Z33" s="3"/>
      <c r="AA33" s="3" t="str">
        <f t="shared" si="2"/>
        <v>Species</v>
      </c>
      <c r="AB33" s="3">
        <v>60</v>
      </c>
      <c r="AC33" s="3">
        <v>100</v>
      </c>
      <c r="AD33" s="3" t="s">
        <v>1208</v>
      </c>
      <c r="AE33" s="3">
        <v>60</v>
      </c>
      <c r="AF33" s="5">
        <v>80</v>
      </c>
      <c r="AG33" s="3" t="s">
        <v>1253</v>
      </c>
      <c r="AH33" s="3">
        <v>60</v>
      </c>
      <c r="AI33" s="3">
        <v>100</v>
      </c>
      <c r="AJ33" s="3">
        <v>15</v>
      </c>
      <c r="AK33" s="3">
        <v>25</v>
      </c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6">
        <v>44.79999999999999</v>
      </c>
      <c r="BF33" s="6">
        <v>37</v>
      </c>
      <c r="BG33" s="6">
        <v>74</v>
      </c>
    </row>
    <row r="34" spans="1:59" ht="15.75" x14ac:dyDescent="0.25">
      <c r="A34" s="3">
        <v>31</v>
      </c>
      <c r="B34" s="3" t="s">
        <v>174</v>
      </c>
      <c r="C34" s="3" t="s">
        <v>175</v>
      </c>
      <c r="D34" s="3" t="s">
        <v>1254</v>
      </c>
      <c r="E34" s="3" t="s">
        <v>176</v>
      </c>
      <c r="F34" s="3" t="s">
        <v>1255</v>
      </c>
      <c r="G34" s="3" t="s">
        <v>177</v>
      </c>
      <c r="H34" s="3" t="s">
        <v>178</v>
      </c>
      <c r="I34" s="3" t="s">
        <v>1256</v>
      </c>
      <c r="J34" s="4" t="b">
        <v>0</v>
      </c>
      <c r="K34" s="3">
        <f t="shared" si="1"/>
        <v>15</v>
      </c>
      <c r="L34" s="3"/>
      <c r="M34" s="3"/>
      <c r="N34" s="3" t="b">
        <v>0</v>
      </c>
      <c r="O34" s="3"/>
      <c r="P34" s="3">
        <v>10</v>
      </c>
      <c r="Q34" s="3"/>
      <c r="R34" s="3" t="s">
        <v>1181</v>
      </c>
      <c r="S34" s="3" t="s">
        <v>179</v>
      </c>
      <c r="T34" s="3" t="s">
        <v>26</v>
      </c>
      <c r="U34" s="3" t="b">
        <v>0</v>
      </c>
      <c r="V34" s="3">
        <v>0.40000000596046398</v>
      </c>
      <c r="W34" s="3" t="e">
        <f t="shared" si="0"/>
        <v>#VALUE!</v>
      </c>
      <c r="X34" s="3">
        <v>9</v>
      </c>
      <c r="Y34" s="3">
        <v>0.79000002145767201</v>
      </c>
      <c r="Z34" s="3"/>
      <c r="AA34" s="3" t="str">
        <f t="shared" si="2"/>
        <v>Species</v>
      </c>
      <c r="AB34" s="3">
        <v>10</v>
      </c>
      <c r="AC34" s="3" t="s">
        <v>1183</v>
      </c>
      <c r="AD34" s="3" t="s">
        <v>1183</v>
      </c>
      <c r="AE34" s="3">
        <v>10</v>
      </c>
      <c r="AF34" s="5">
        <v>15</v>
      </c>
      <c r="AG34" s="3" t="s">
        <v>1257</v>
      </c>
      <c r="AH34" s="3" t="s">
        <v>1183</v>
      </c>
      <c r="AI34" s="3" t="s">
        <v>1183</v>
      </c>
      <c r="AJ34" s="3" t="s">
        <v>1183</v>
      </c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6">
        <v>17</v>
      </c>
      <c r="BF34" s="6">
        <v>259</v>
      </c>
      <c r="BG34" s="6">
        <v>35</v>
      </c>
    </row>
    <row r="35" spans="1:59" ht="15.75" x14ac:dyDescent="0.25">
      <c r="A35" s="3">
        <v>32</v>
      </c>
      <c r="B35" s="3" t="s">
        <v>151</v>
      </c>
      <c r="C35" s="3" t="s">
        <v>146</v>
      </c>
      <c r="D35" s="3" t="s">
        <v>1258</v>
      </c>
      <c r="E35" s="3" t="s">
        <v>147</v>
      </c>
      <c r="F35" s="3" t="s">
        <v>1259</v>
      </c>
      <c r="G35" s="3" t="s">
        <v>152</v>
      </c>
      <c r="H35" s="3" t="s">
        <v>153</v>
      </c>
      <c r="I35" s="3"/>
      <c r="J35" s="4" t="b">
        <v>1</v>
      </c>
      <c r="K35" s="3">
        <f t="shared" si="1"/>
        <v>60</v>
      </c>
      <c r="L35" s="3"/>
      <c r="M35" s="3"/>
      <c r="N35" s="3" t="b">
        <v>0</v>
      </c>
      <c r="O35" s="3"/>
      <c r="P35" s="3">
        <v>41.700000762939503</v>
      </c>
      <c r="Q35" s="3"/>
      <c r="R35" s="3" t="s">
        <v>1181</v>
      </c>
      <c r="S35" s="3" t="s">
        <v>154</v>
      </c>
      <c r="T35" s="3" t="s">
        <v>26</v>
      </c>
      <c r="U35" s="3" t="b">
        <v>0</v>
      </c>
      <c r="V35" s="3">
        <v>0.64999997615814198</v>
      </c>
      <c r="W35" s="3" t="e">
        <f t="shared" si="0"/>
        <v>#VALUE!</v>
      </c>
      <c r="X35" s="3">
        <v>9</v>
      </c>
      <c r="Y35" s="3">
        <v>0.87999999523162797</v>
      </c>
      <c r="Z35" s="3"/>
      <c r="AA35" s="3" t="str">
        <f t="shared" si="2"/>
        <v>Species</v>
      </c>
      <c r="AB35" s="3">
        <v>50</v>
      </c>
      <c r="AC35" s="3" t="s">
        <v>1183</v>
      </c>
      <c r="AD35" s="3" t="s">
        <v>1183</v>
      </c>
      <c r="AE35" s="3">
        <v>50</v>
      </c>
      <c r="AF35" s="5">
        <v>60</v>
      </c>
      <c r="AG35" s="3" t="s">
        <v>1260</v>
      </c>
      <c r="AH35" s="3" t="s">
        <v>1183</v>
      </c>
      <c r="AI35" s="3" t="s">
        <v>1183</v>
      </c>
      <c r="AJ35" s="3" t="s">
        <v>1183</v>
      </c>
      <c r="AK35" s="3"/>
      <c r="AL35" s="3"/>
      <c r="AM35" s="3"/>
      <c r="AN35" s="3">
        <v>2</v>
      </c>
      <c r="AO35" s="3"/>
      <c r="AP35" s="3">
        <v>40</v>
      </c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6">
        <v>21</v>
      </c>
      <c r="BF35" s="6">
        <v>201</v>
      </c>
      <c r="BG35" s="6">
        <v>80</v>
      </c>
    </row>
    <row r="36" spans="1:59" ht="15.75" x14ac:dyDescent="0.25">
      <c r="A36" s="3">
        <v>33</v>
      </c>
      <c r="B36" s="3" t="s">
        <v>163</v>
      </c>
      <c r="C36" s="3" t="s">
        <v>146</v>
      </c>
      <c r="D36" s="3" t="s">
        <v>1258</v>
      </c>
      <c r="E36" s="3" t="s">
        <v>147</v>
      </c>
      <c r="F36" s="3" t="s">
        <v>1261</v>
      </c>
      <c r="G36" s="3" t="s">
        <v>164</v>
      </c>
      <c r="H36" s="3" t="s">
        <v>165</v>
      </c>
      <c r="I36" s="3"/>
      <c r="J36" s="4" t="b">
        <v>0</v>
      </c>
      <c r="K36" s="3" t="str">
        <f t="shared" si="1"/>
        <v/>
      </c>
      <c r="L36" s="3"/>
      <c r="M36" s="3"/>
      <c r="N36" s="3" t="b">
        <v>0</v>
      </c>
      <c r="O36" s="3"/>
      <c r="P36" s="3">
        <v>40</v>
      </c>
      <c r="Q36" s="3"/>
      <c r="R36" s="3" t="s">
        <v>1181</v>
      </c>
      <c r="S36" s="3" t="s">
        <v>166</v>
      </c>
      <c r="T36" s="3" t="s">
        <v>26</v>
      </c>
      <c r="U36" s="3" t="b">
        <v>0</v>
      </c>
      <c r="V36" s="3">
        <v>0.64999997615814198</v>
      </c>
      <c r="W36" s="3" t="e">
        <f t="shared" si="0"/>
        <v>#VALUE!</v>
      </c>
      <c r="X36" s="3">
        <v>9</v>
      </c>
      <c r="Y36" s="3">
        <v>0.87999999523162797</v>
      </c>
      <c r="Z36" s="3"/>
      <c r="AA36" s="3" t="str">
        <f t="shared" si="2"/>
        <v>Species</v>
      </c>
      <c r="AB36" s="3" t="s">
        <v>1183</v>
      </c>
      <c r="AC36" s="3" t="s">
        <v>1183</v>
      </c>
      <c r="AD36" s="3" t="s">
        <v>1183</v>
      </c>
      <c r="AE36" s="3" t="s">
        <v>1183</v>
      </c>
      <c r="AF36" s="5" t="s">
        <v>1183</v>
      </c>
      <c r="AG36" s="3" t="s">
        <v>1260</v>
      </c>
      <c r="AH36" s="3" t="s">
        <v>1183</v>
      </c>
      <c r="AI36" s="3" t="s">
        <v>1183</v>
      </c>
      <c r="AJ36" s="3" t="s">
        <v>1183</v>
      </c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6" t="e">
        <v>#NUM!</v>
      </c>
      <c r="BF36" s="6">
        <v>0</v>
      </c>
      <c r="BG36" s="6" t="e">
        <v>#NUM!</v>
      </c>
    </row>
    <row r="37" spans="1:59" ht="15.75" x14ac:dyDescent="0.25">
      <c r="A37" s="3">
        <v>34</v>
      </c>
      <c r="B37" s="3" t="s">
        <v>180</v>
      </c>
      <c r="C37" s="3" t="s">
        <v>175</v>
      </c>
      <c r="D37" s="3" t="s">
        <v>1254</v>
      </c>
      <c r="E37" s="3" t="s">
        <v>176</v>
      </c>
      <c r="F37" s="3" t="s">
        <v>1262</v>
      </c>
      <c r="G37" s="3" t="s">
        <v>176</v>
      </c>
      <c r="H37" s="3" t="s">
        <v>1263</v>
      </c>
      <c r="I37" s="3"/>
      <c r="J37" s="4" t="s">
        <v>1188</v>
      </c>
      <c r="K37" s="3" t="str">
        <f t="shared" si="1"/>
        <v/>
      </c>
      <c r="L37" s="3"/>
      <c r="M37" s="3"/>
      <c r="N37" s="3" t="b">
        <v>1</v>
      </c>
      <c r="O37" s="3"/>
      <c r="P37" s="3">
        <v>60</v>
      </c>
      <c r="Q37" s="3"/>
      <c r="R37" s="3" t="s">
        <v>1181</v>
      </c>
      <c r="S37" s="3"/>
      <c r="T37" s="3" t="s">
        <v>26</v>
      </c>
      <c r="U37" s="3"/>
      <c r="V37" s="3"/>
      <c r="W37" s="3" t="str">
        <f t="shared" si="0"/>
        <v/>
      </c>
      <c r="X37" s="3">
        <v>9</v>
      </c>
      <c r="Y37" s="3">
        <v>0.69999998807907104</v>
      </c>
      <c r="Z37" s="3"/>
      <c r="AA37" s="3" t="str">
        <f t="shared" si="2"/>
        <v>Genus</v>
      </c>
      <c r="AB37" s="3" t="s">
        <v>1183</v>
      </c>
      <c r="AC37" s="3">
        <v>40</v>
      </c>
      <c r="AD37" s="3" t="s">
        <v>1208</v>
      </c>
      <c r="AE37" s="3" t="s">
        <v>1183</v>
      </c>
      <c r="AF37" s="5"/>
      <c r="AG37" s="3" t="s">
        <v>1257</v>
      </c>
      <c r="AH37" s="3" t="s">
        <v>1183</v>
      </c>
      <c r="AI37" s="3" t="s">
        <v>1183</v>
      </c>
      <c r="AJ37" s="3" t="s">
        <v>1183</v>
      </c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6">
        <v>17</v>
      </c>
      <c r="BF37" s="6">
        <v>101</v>
      </c>
      <c r="BG37" s="6">
        <v>27</v>
      </c>
    </row>
    <row r="38" spans="1:59" ht="15.75" x14ac:dyDescent="0.25">
      <c r="A38" s="3">
        <v>35</v>
      </c>
      <c r="B38" s="3" t="s">
        <v>159</v>
      </c>
      <c r="C38" s="3" t="s">
        <v>146</v>
      </c>
      <c r="D38" s="3" t="s">
        <v>1258</v>
      </c>
      <c r="E38" s="3" t="s">
        <v>147</v>
      </c>
      <c r="F38" s="3" t="s">
        <v>1264</v>
      </c>
      <c r="G38" s="3" t="s">
        <v>160</v>
      </c>
      <c r="H38" s="3" t="s">
        <v>161</v>
      </c>
      <c r="I38" s="3"/>
      <c r="J38" s="4" t="b">
        <v>0</v>
      </c>
      <c r="K38" s="3">
        <f t="shared" si="1"/>
        <v>100</v>
      </c>
      <c r="L38" s="3"/>
      <c r="M38" s="3"/>
      <c r="N38" s="3" t="b">
        <v>0</v>
      </c>
      <c r="O38" s="3"/>
      <c r="P38" s="3">
        <v>40</v>
      </c>
      <c r="Q38" s="3"/>
      <c r="R38" s="3" t="s">
        <v>1181</v>
      </c>
      <c r="S38" s="3" t="s">
        <v>162</v>
      </c>
      <c r="T38" s="3" t="s">
        <v>26</v>
      </c>
      <c r="U38" s="3" t="b">
        <v>0</v>
      </c>
      <c r="V38" s="3">
        <v>0.64999997615814198</v>
      </c>
      <c r="W38" s="3" t="e">
        <f t="shared" si="0"/>
        <v>#VALUE!</v>
      </c>
      <c r="X38" s="3">
        <v>9</v>
      </c>
      <c r="Y38" s="3">
        <v>0.87999999523162797</v>
      </c>
      <c r="Z38" s="3"/>
      <c r="AA38" s="3" t="str">
        <f t="shared" si="2"/>
        <v>Species</v>
      </c>
      <c r="AB38" s="3" t="s">
        <v>1183</v>
      </c>
      <c r="AC38" s="3" t="s">
        <v>1183</v>
      </c>
      <c r="AD38" s="3" t="s">
        <v>1183</v>
      </c>
      <c r="AE38" s="3" t="s">
        <v>1183</v>
      </c>
      <c r="AF38" s="5">
        <v>100</v>
      </c>
      <c r="AG38" s="3" t="s">
        <v>1260</v>
      </c>
      <c r="AH38" s="3" t="s">
        <v>1183</v>
      </c>
      <c r="AI38" s="3" t="s">
        <v>1183</v>
      </c>
      <c r="AJ38" s="3" t="s">
        <v>1183</v>
      </c>
      <c r="AK38" s="3"/>
      <c r="AL38" s="3"/>
      <c r="AM38" s="3"/>
      <c r="AN38" s="3">
        <v>3</v>
      </c>
      <c r="AO38" s="3"/>
      <c r="AP38" s="3">
        <v>90</v>
      </c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6" t="e">
        <v>#NUM!</v>
      </c>
      <c r="BF38" s="6">
        <v>0</v>
      </c>
      <c r="BG38" s="6" t="e">
        <v>#NUM!</v>
      </c>
    </row>
    <row r="39" spans="1:59" ht="15.75" x14ac:dyDescent="0.25">
      <c r="A39" s="3">
        <v>36</v>
      </c>
      <c r="B39" s="3" t="s">
        <v>1038</v>
      </c>
      <c r="C39" s="3" t="s">
        <v>450</v>
      </c>
      <c r="D39" s="3" t="s">
        <v>1265</v>
      </c>
      <c r="E39" s="3" t="s">
        <v>1039</v>
      </c>
      <c r="F39" s="3" t="s">
        <v>1266</v>
      </c>
      <c r="G39" s="3" t="s">
        <v>1040</v>
      </c>
      <c r="H39" s="3" t="s">
        <v>1041</v>
      </c>
      <c r="I39" s="3"/>
      <c r="J39" s="4" t="b">
        <v>1</v>
      </c>
      <c r="K39" s="3">
        <f t="shared" si="1"/>
        <v>75</v>
      </c>
      <c r="L39" s="3"/>
      <c r="M39" s="3"/>
      <c r="N39" s="3" t="b">
        <v>1</v>
      </c>
      <c r="O39" s="3"/>
      <c r="P39" s="3">
        <v>61.799999237060497</v>
      </c>
      <c r="Q39" s="3" t="s">
        <v>1220</v>
      </c>
      <c r="R39" s="3" t="s">
        <v>1181</v>
      </c>
      <c r="S39" s="3" t="s">
        <v>99</v>
      </c>
      <c r="T39" s="3" t="s">
        <v>26</v>
      </c>
      <c r="U39" s="3" t="b">
        <v>0</v>
      </c>
      <c r="V39" s="3">
        <v>0.62999999523162797</v>
      </c>
      <c r="W39" s="3" t="e">
        <f t="shared" si="0"/>
        <v>#VALUE!</v>
      </c>
      <c r="X39" s="3">
        <v>9</v>
      </c>
      <c r="Y39" s="3">
        <v>0.91000002622604403</v>
      </c>
      <c r="Z39" s="3"/>
      <c r="AA39" s="3" t="str">
        <f t="shared" si="2"/>
        <v>Species</v>
      </c>
      <c r="AB39" s="3">
        <v>90</v>
      </c>
      <c r="AC39" s="3">
        <v>75</v>
      </c>
      <c r="AD39" s="3" t="s">
        <v>1182</v>
      </c>
      <c r="AE39" s="3">
        <v>90</v>
      </c>
      <c r="AF39" s="5">
        <v>75</v>
      </c>
      <c r="AG39" s="3" t="s">
        <v>1267</v>
      </c>
      <c r="AH39" s="3">
        <v>30</v>
      </c>
      <c r="AI39" s="3">
        <v>60</v>
      </c>
      <c r="AJ39" s="3">
        <v>12</v>
      </c>
      <c r="AK39" s="3">
        <v>20</v>
      </c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6">
        <v>60.119999694824202</v>
      </c>
      <c r="BF39" s="6">
        <v>107</v>
      </c>
      <c r="BG39" s="6">
        <v>96</v>
      </c>
    </row>
    <row r="40" spans="1:59" ht="15.75" x14ac:dyDescent="0.25">
      <c r="A40" s="3">
        <v>37</v>
      </c>
      <c r="B40" s="3" t="s">
        <v>188</v>
      </c>
      <c r="C40" s="3" t="s">
        <v>183</v>
      </c>
      <c r="D40" s="3" t="s">
        <v>1268</v>
      </c>
      <c r="E40" s="3" t="s">
        <v>184</v>
      </c>
      <c r="F40" s="3" t="s">
        <v>1269</v>
      </c>
      <c r="G40" s="3" t="s">
        <v>189</v>
      </c>
      <c r="H40" s="3" t="s">
        <v>190</v>
      </c>
      <c r="I40" s="3"/>
      <c r="J40" s="4" t="b">
        <v>0</v>
      </c>
      <c r="K40" s="3" t="str">
        <f t="shared" si="1"/>
        <v/>
      </c>
      <c r="L40" s="3"/>
      <c r="M40" s="3"/>
      <c r="N40" s="3" t="b">
        <v>0</v>
      </c>
      <c r="O40" s="3"/>
      <c r="P40" s="3">
        <v>40</v>
      </c>
      <c r="Q40" s="3"/>
      <c r="R40" s="3" t="s">
        <v>1181</v>
      </c>
      <c r="S40" s="3" t="s">
        <v>191</v>
      </c>
      <c r="T40" s="3" t="s">
        <v>26</v>
      </c>
      <c r="U40" s="3" t="b">
        <v>0</v>
      </c>
      <c r="V40" s="3">
        <v>0.60000002384185802</v>
      </c>
      <c r="W40" s="3" t="e">
        <f t="shared" si="0"/>
        <v>#VALUE!</v>
      </c>
      <c r="X40" s="3">
        <v>9</v>
      </c>
      <c r="Y40" s="3">
        <v>0.75999999046325695</v>
      </c>
      <c r="Z40" s="3"/>
      <c r="AA40" s="3" t="str">
        <f t="shared" si="2"/>
        <v>Species</v>
      </c>
      <c r="AB40" s="3" t="s">
        <v>1183</v>
      </c>
      <c r="AC40" s="3" t="s">
        <v>1183</v>
      </c>
      <c r="AD40" s="3" t="s">
        <v>1183</v>
      </c>
      <c r="AE40" s="3" t="s">
        <v>1183</v>
      </c>
      <c r="AF40" s="5" t="s">
        <v>1183</v>
      </c>
      <c r="AG40" s="3" t="s">
        <v>1183</v>
      </c>
      <c r="AH40" s="3" t="s">
        <v>1183</v>
      </c>
      <c r="AI40" s="3" t="s">
        <v>1183</v>
      </c>
      <c r="AJ40" s="3" t="s">
        <v>1183</v>
      </c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6" t="e">
        <v>#NUM!</v>
      </c>
      <c r="BF40" s="6">
        <v>0</v>
      </c>
      <c r="BG40" s="6" t="e">
        <v>#NUM!</v>
      </c>
    </row>
    <row r="41" spans="1:59" ht="15.75" x14ac:dyDescent="0.25">
      <c r="A41" s="3">
        <v>38</v>
      </c>
      <c r="B41" s="3" t="s">
        <v>192</v>
      </c>
      <c r="C41" s="3" t="s">
        <v>183</v>
      </c>
      <c r="D41" s="3" t="s">
        <v>1268</v>
      </c>
      <c r="E41" s="3" t="s">
        <v>184</v>
      </c>
      <c r="F41" s="3" t="s">
        <v>1270</v>
      </c>
      <c r="G41" s="3" t="s">
        <v>193</v>
      </c>
      <c r="H41" s="3" t="s">
        <v>194</v>
      </c>
      <c r="I41" s="3"/>
      <c r="J41" s="4" t="b">
        <v>0</v>
      </c>
      <c r="K41" s="3">
        <f t="shared" si="1"/>
        <v>60</v>
      </c>
      <c r="L41" s="3"/>
      <c r="M41" s="3"/>
      <c r="N41" s="3" t="b">
        <v>1</v>
      </c>
      <c r="O41" s="3"/>
      <c r="P41" s="3">
        <v>72.300003051757798</v>
      </c>
      <c r="Q41" s="3"/>
      <c r="R41" s="3" t="s">
        <v>1181</v>
      </c>
      <c r="S41" s="3" t="s">
        <v>195</v>
      </c>
      <c r="T41" s="3" t="s">
        <v>26</v>
      </c>
      <c r="U41" s="3" t="b">
        <v>0</v>
      </c>
      <c r="V41" s="3">
        <v>0.490000009536743</v>
      </c>
      <c r="W41" s="3" t="e">
        <f t="shared" si="0"/>
        <v>#VALUE!</v>
      </c>
      <c r="X41" s="3">
        <v>9</v>
      </c>
      <c r="Y41" s="3">
        <v>0.75999999046325695</v>
      </c>
      <c r="Z41" s="3"/>
      <c r="AA41" s="3" t="str">
        <f t="shared" si="2"/>
        <v>Species</v>
      </c>
      <c r="AB41" s="3">
        <v>120</v>
      </c>
      <c r="AC41" s="3" t="s">
        <v>1183</v>
      </c>
      <c r="AD41" s="3" t="s">
        <v>1183</v>
      </c>
      <c r="AE41" s="3">
        <v>120</v>
      </c>
      <c r="AF41" s="5">
        <v>60</v>
      </c>
      <c r="AG41" s="3" t="s">
        <v>1271</v>
      </c>
      <c r="AH41" s="3">
        <v>20</v>
      </c>
      <c r="AI41" s="3">
        <v>40</v>
      </c>
      <c r="AJ41" s="3">
        <v>10</v>
      </c>
      <c r="AK41" s="3">
        <v>15</v>
      </c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6">
        <v>63.070000000000014</v>
      </c>
      <c r="BF41" s="6">
        <v>460</v>
      </c>
      <c r="BG41" s="6">
        <v>143</v>
      </c>
    </row>
    <row r="42" spans="1:59" ht="15.75" x14ac:dyDescent="0.25">
      <c r="A42" s="3">
        <v>39</v>
      </c>
      <c r="B42" s="3" t="s">
        <v>182</v>
      </c>
      <c r="C42" s="3" t="s">
        <v>183</v>
      </c>
      <c r="D42" s="3" t="s">
        <v>1268</v>
      </c>
      <c r="E42" s="3" t="s">
        <v>184</v>
      </c>
      <c r="F42" s="3" t="s">
        <v>1272</v>
      </c>
      <c r="G42" s="3" t="s">
        <v>185</v>
      </c>
      <c r="H42" s="3" t="s">
        <v>186</v>
      </c>
      <c r="I42" s="3"/>
      <c r="J42" s="4" t="b">
        <v>0</v>
      </c>
      <c r="K42" s="3">
        <f t="shared" si="1"/>
        <v>60</v>
      </c>
      <c r="L42" s="3"/>
      <c r="M42" s="3"/>
      <c r="N42" s="3" t="b">
        <v>0</v>
      </c>
      <c r="O42" s="3"/>
      <c r="P42" s="3">
        <v>40</v>
      </c>
      <c r="Q42" s="3"/>
      <c r="R42" s="3" t="s">
        <v>1181</v>
      </c>
      <c r="S42" s="3" t="s">
        <v>187</v>
      </c>
      <c r="T42" s="3" t="s">
        <v>26</v>
      </c>
      <c r="U42" s="3" t="b">
        <v>0</v>
      </c>
      <c r="V42" s="3">
        <v>0.61000001430511497</v>
      </c>
      <c r="W42" s="3" t="e">
        <f t="shared" si="0"/>
        <v>#VALUE!</v>
      </c>
      <c r="X42" s="3">
        <v>9</v>
      </c>
      <c r="Y42" s="3">
        <v>0.75999999046325695</v>
      </c>
      <c r="Z42" s="3"/>
      <c r="AA42" s="3" t="str">
        <f t="shared" si="2"/>
        <v>Species</v>
      </c>
      <c r="AB42" s="3" t="s">
        <v>1183</v>
      </c>
      <c r="AC42" s="3" t="s">
        <v>1183</v>
      </c>
      <c r="AD42" s="3" t="s">
        <v>1183</v>
      </c>
      <c r="AE42" s="3" t="s">
        <v>1183</v>
      </c>
      <c r="AF42" s="5">
        <v>60</v>
      </c>
      <c r="AG42" s="3" t="s">
        <v>1183</v>
      </c>
      <c r="AH42" s="3" t="s">
        <v>1183</v>
      </c>
      <c r="AI42" s="3" t="s">
        <v>1183</v>
      </c>
      <c r="AJ42" s="3" t="s">
        <v>1183</v>
      </c>
      <c r="AK42" s="3"/>
      <c r="AL42" s="3"/>
      <c r="AM42" s="3">
        <v>1</v>
      </c>
      <c r="AN42" s="3">
        <v>4</v>
      </c>
      <c r="AO42" s="3">
        <v>50</v>
      </c>
      <c r="AP42" s="3">
        <v>60</v>
      </c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6">
        <v>82.2</v>
      </c>
      <c r="BF42" s="6">
        <v>17</v>
      </c>
      <c r="BG42" s="6">
        <v>97</v>
      </c>
    </row>
    <row r="43" spans="1:59" ht="15.75" x14ac:dyDescent="0.25">
      <c r="A43" s="3">
        <v>40</v>
      </c>
      <c r="B43" s="3" t="s">
        <v>196</v>
      </c>
      <c r="C43" s="3" t="s">
        <v>183</v>
      </c>
      <c r="D43" s="3" t="s">
        <v>1268</v>
      </c>
      <c r="E43" s="3" t="s">
        <v>184</v>
      </c>
      <c r="F43" s="3" t="s">
        <v>1273</v>
      </c>
      <c r="G43" s="3" t="s">
        <v>197</v>
      </c>
      <c r="H43" s="3" t="s">
        <v>1268</v>
      </c>
      <c r="I43" s="3"/>
      <c r="J43" s="4" t="s">
        <v>1188</v>
      </c>
      <c r="K43" s="3" t="str">
        <f t="shared" si="1"/>
        <v/>
      </c>
      <c r="L43" s="3"/>
      <c r="M43" s="3"/>
      <c r="N43" s="3" t="b">
        <v>0</v>
      </c>
      <c r="O43" s="3"/>
      <c r="P43" s="3"/>
      <c r="Q43" s="3"/>
      <c r="R43" s="3" t="s">
        <v>1181</v>
      </c>
      <c r="S43" s="3"/>
      <c r="T43" s="3" t="s">
        <v>26</v>
      </c>
      <c r="U43" s="3"/>
      <c r="V43" s="3"/>
      <c r="W43" s="3" t="str">
        <f t="shared" si="0"/>
        <v/>
      </c>
      <c r="X43" s="3">
        <v>9</v>
      </c>
      <c r="Y43" s="3">
        <v>0.75999999046325695</v>
      </c>
      <c r="Z43" s="3"/>
      <c r="AA43" s="3" t="str">
        <f t="shared" si="2"/>
        <v>Genus</v>
      </c>
      <c r="AB43" s="3" t="s">
        <v>1183</v>
      </c>
      <c r="AC43" s="3" t="s">
        <v>1183</v>
      </c>
      <c r="AD43" s="3" t="s">
        <v>1183</v>
      </c>
      <c r="AE43" s="3" t="s">
        <v>1183</v>
      </c>
      <c r="AF43" s="5"/>
      <c r="AG43" s="3" t="s">
        <v>1183</v>
      </c>
      <c r="AH43" s="3" t="s">
        <v>1183</v>
      </c>
      <c r="AI43" s="3" t="s">
        <v>1183</v>
      </c>
      <c r="AJ43" s="3" t="s">
        <v>1183</v>
      </c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6" t="e">
        <v>#NUM!</v>
      </c>
      <c r="BF43" s="6">
        <v>0</v>
      </c>
      <c r="BG43" s="6" t="e">
        <v>#NUM!</v>
      </c>
    </row>
    <row r="44" spans="1:59" ht="15.75" x14ac:dyDescent="0.25">
      <c r="A44" s="3">
        <v>41</v>
      </c>
      <c r="B44" s="3" t="s">
        <v>287</v>
      </c>
      <c r="C44" s="3" t="s">
        <v>288</v>
      </c>
      <c r="D44" s="3" t="s">
        <v>1274</v>
      </c>
      <c r="E44" s="3" t="s">
        <v>289</v>
      </c>
      <c r="F44" s="3" t="s">
        <v>1275</v>
      </c>
      <c r="G44" s="3" t="s">
        <v>290</v>
      </c>
      <c r="H44" s="3" t="s">
        <v>291</v>
      </c>
      <c r="I44" s="3"/>
      <c r="J44" s="4" t="b">
        <v>0</v>
      </c>
      <c r="K44" s="3" t="str">
        <f t="shared" si="1"/>
        <v/>
      </c>
      <c r="L44" s="3"/>
      <c r="M44" s="3"/>
      <c r="N44" s="3" t="b">
        <v>0</v>
      </c>
      <c r="O44" s="3"/>
      <c r="P44" s="3">
        <v>15</v>
      </c>
      <c r="Q44" s="3"/>
      <c r="R44" s="3" t="s">
        <v>1276</v>
      </c>
      <c r="S44" s="3" t="s">
        <v>292</v>
      </c>
      <c r="T44" s="3" t="s">
        <v>26</v>
      </c>
      <c r="U44" s="3" t="b">
        <v>0</v>
      </c>
      <c r="V44" s="3">
        <v>0.60000002384185802</v>
      </c>
      <c r="W44" s="3" t="e">
        <f t="shared" si="0"/>
        <v>#VALUE!</v>
      </c>
      <c r="X44" s="3">
        <v>9</v>
      </c>
      <c r="Y44" s="3">
        <v>0.79000002145767201</v>
      </c>
      <c r="Z44" s="3"/>
      <c r="AA44" s="3" t="str">
        <f t="shared" si="2"/>
        <v>Species</v>
      </c>
      <c r="AB44" s="3" t="s">
        <v>1183</v>
      </c>
      <c r="AC44" s="3" t="s">
        <v>1183</v>
      </c>
      <c r="AD44" s="3" t="s">
        <v>1183</v>
      </c>
      <c r="AE44" s="3" t="s">
        <v>1183</v>
      </c>
      <c r="AF44" s="5" t="s">
        <v>1183</v>
      </c>
      <c r="AG44" s="3" t="s">
        <v>1183</v>
      </c>
      <c r="AH44" s="3" t="s">
        <v>1183</v>
      </c>
      <c r="AI44" s="3" t="s">
        <v>1183</v>
      </c>
      <c r="AJ44" s="3" t="s">
        <v>1183</v>
      </c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6">
        <v>18.799999999999997</v>
      </c>
      <c r="BF44" s="6">
        <v>3</v>
      </c>
      <c r="BG44" s="6">
        <v>21</v>
      </c>
    </row>
    <row r="45" spans="1:59" ht="15.75" x14ac:dyDescent="0.25">
      <c r="A45" s="3">
        <v>42</v>
      </c>
      <c r="B45" s="3" t="s">
        <v>206</v>
      </c>
      <c r="C45" s="3" t="s">
        <v>200</v>
      </c>
      <c r="D45" s="3" t="s">
        <v>1277</v>
      </c>
      <c r="E45" s="3" t="s">
        <v>201</v>
      </c>
      <c r="F45" s="3" t="s">
        <v>1278</v>
      </c>
      <c r="G45" s="3" t="s">
        <v>207</v>
      </c>
      <c r="H45" s="3" t="s">
        <v>208</v>
      </c>
      <c r="I45" s="3"/>
      <c r="J45" s="4" t="b">
        <v>0</v>
      </c>
      <c r="K45" s="3" t="str">
        <f t="shared" si="1"/>
        <v/>
      </c>
      <c r="L45" s="3"/>
      <c r="M45" s="3"/>
      <c r="N45" s="3" t="b">
        <v>0</v>
      </c>
      <c r="O45" s="3"/>
      <c r="P45" s="3">
        <v>40</v>
      </c>
      <c r="Q45" s="3"/>
      <c r="R45" s="3" t="s">
        <v>1276</v>
      </c>
      <c r="S45" s="3"/>
      <c r="T45" s="3" t="s">
        <v>26</v>
      </c>
      <c r="U45" s="3" t="b">
        <v>0</v>
      </c>
      <c r="V45" s="3">
        <v>0.69999998807907104</v>
      </c>
      <c r="W45" s="3" t="str">
        <f t="shared" si="0"/>
        <v/>
      </c>
      <c r="X45" s="3">
        <v>9</v>
      </c>
      <c r="Y45" s="3">
        <v>0.79000002145767201</v>
      </c>
      <c r="Z45" s="3"/>
      <c r="AA45" s="3" t="str">
        <f t="shared" si="2"/>
        <v>Species</v>
      </c>
      <c r="AB45" s="3" t="s">
        <v>1183</v>
      </c>
      <c r="AC45" s="3" t="s">
        <v>1183</v>
      </c>
      <c r="AD45" s="3" t="s">
        <v>1183</v>
      </c>
      <c r="AE45" s="3" t="s">
        <v>1183</v>
      </c>
      <c r="AF45" s="5" t="s">
        <v>1183</v>
      </c>
      <c r="AG45" s="3" t="s">
        <v>1183</v>
      </c>
      <c r="AH45" s="3" t="s">
        <v>1183</v>
      </c>
      <c r="AI45" s="3" t="s">
        <v>1183</v>
      </c>
      <c r="AJ45" s="3" t="s">
        <v>1183</v>
      </c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6">
        <v>12.45</v>
      </c>
      <c r="BF45" s="6">
        <v>52</v>
      </c>
      <c r="BG45" s="6">
        <v>35</v>
      </c>
    </row>
    <row r="46" spans="1:59" ht="15.75" x14ac:dyDescent="0.25">
      <c r="A46" s="3">
        <v>43</v>
      </c>
      <c r="B46" s="3" t="s">
        <v>517</v>
      </c>
      <c r="C46" s="3" t="s">
        <v>200</v>
      </c>
      <c r="D46" s="3" t="s">
        <v>1279</v>
      </c>
      <c r="E46" s="3" t="s">
        <v>502</v>
      </c>
      <c r="F46" s="3" t="s">
        <v>1280</v>
      </c>
      <c r="G46" s="3" t="s">
        <v>518</v>
      </c>
      <c r="H46" s="3" t="s">
        <v>519</v>
      </c>
      <c r="I46" s="3"/>
      <c r="J46" s="4" t="b">
        <v>1</v>
      </c>
      <c r="K46" s="3">
        <f t="shared" si="1"/>
        <v>60</v>
      </c>
      <c r="L46" s="3"/>
      <c r="M46" s="3"/>
      <c r="N46" s="3" t="b">
        <v>0</v>
      </c>
      <c r="O46" s="3"/>
      <c r="P46" s="3">
        <v>30.600000381469702</v>
      </c>
      <c r="Q46" s="3"/>
      <c r="R46" s="3" t="s">
        <v>1276</v>
      </c>
      <c r="S46" s="3" t="s">
        <v>520</v>
      </c>
      <c r="T46" s="3" t="s">
        <v>26</v>
      </c>
      <c r="U46" s="3" t="b">
        <v>0</v>
      </c>
      <c r="V46" s="3">
        <v>0.60000002384185802</v>
      </c>
      <c r="W46" s="3" t="e">
        <f t="shared" si="0"/>
        <v>#VALUE!</v>
      </c>
      <c r="X46" s="3">
        <v>9</v>
      </c>
      <c r="Y46" s="3">
        <v>0.79000002145767201</v>
      </c>
      <c r="Z46" s="3"/>
      <c r="AA46" s="3" t="str">
        <f t="shared" si="2"/>
        <v>Species</v>
      </c>
      <c r="AB46" s="3">
        <v>20</v>
      </c>
      <c r="AC46" s="3">
        <v>100</v>
      </c>
      <c r="AD46" s="3" t="s">
        <v>1208</v>
      </c>
      <c r="AE46" s="3">
        <v>20</v>
      </c>
      <c r="AF46" s="5">
        <v>60</v>
      </c>
      <c r="AG46" s="3" t="s">
        <v>1281</v>
      </c>
      <c r="AH46" s="3">
        <v>20</v>
      </c>
      <c r="AI46" s="3">
        <v>100</v>
      </c>
      <c r="AJ46" s="3">
        <v>10</v>
      </c>
      <c r="AK46" s="3">
        <v>20</v>
      </c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6">
        <v>24</v>
      </c>
      <c r="BF46" s="6">
        <v>298</v>
      </c>
      <c r="BG46" s="6">
        <v>51</v>
      </c>
    </row>
    <row r="47" spans="1:59" ht="15.75" x14ac:dyDescent="0.25">
      <c r="A47" s="3">
        <v>44</v>
      </c>
      <c r="B47" s="3" t="s">
        <v>213</v>
      </c>
      <c r="C47" s="3" t="s">
        <v>200</v>
      </c>
      <c r="D47" s="3" t="s">
        <v>1277</v>
      </c>
      <c r="E47" s="3" t="s">
        <v>201</v>
      </c>
      <c r="F47" s="3" t="s">
        <v>1282</v>
      </c>
      <c r="G47" s="3" t="s">
        <v>201</v>
      </c>
      <c r="H47" s="3" t="s">
        <v>1283</v>
      </c>
      <c r="I47" s="3"/>
      <c r="J47" s="4" t="s">
        <v>1188</v>
      </c>
      <c r="K47" s="3" t="str">
        <f t="shared" si="1"/>
        <v/>
      </c>
      <c r="L47" s="3"/>
      <c r="M47" s="3"/>
      <c r="N47" s="3" t="b">
        <v>1</v>
      </c>
      <c r="O47" s="3"/>
      <c r="P47" s="3">
        <v>60</v>
      </c>
      <c r="Q47" s="3"/>
      <c r="R47" s="3" t="s">
        <v>1276</v>
      </c>
      <c r="S47" s="3"/>
      <c r="T47" s="3" t="s">
        <v>26</v>
      </c>
      <c r="U47" s="3"/>
      <c r="V47" s="3"/>
      <c r="W47" s="3" t="str">
        <f t="shared" si="0"/>
        <v/>
      </c>
      <c r="X47" s="3">
        <v>9</v>
      </c>
      <c r="Y47" s="3">
        <v>0.69999998807907104</v>
      </c>
      <c r="Z47" s="3"/>
      <c r="AA47" s="3" t="str">
        <f t="shared" si="2"/>
        <v>Genus</v>
      </c>
      <c r="AB47" s="3" t="s">
        <v>1183</v>
      </c>
      <c r="AC47" s="3" t="s">
        <v>1183</v>
      </c>
      <c r="AD47" s="3" t="s">
        <v>1183</v>
      </c>
      <c r="AE47" s="3" t="s">
        <v>1183</v>
      </c>
      <c r="AF47" s="5"/>
      <c r="AG47" s="3" t="s">
        <v>1183</v>
      </c>
      <c r="AH47" s="3" t="s">
        <v>1183</v>
      </c>
      <c r="AI47" s="3" t="s">
        <v>1183</v>
      </c>
      <c r="AJ47" s="3" t="s">
        <v>1183</v>
      </c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6">
        <v>16.970000000000002</v>
      </c>
      <c r="BF47" s="6">
        <v>162</v>
      </c>
      <c r="BG47" s="6">
        <v>61</v>
      </c>
    </row>
    <row r="48" spans="1:59" ht="15.75" x14ac:dyDescent="0.25">
      <c r="A48" s="3">
        <v>307</v>
      </c>
      <c r="B48" s="3" t="s">
        <v>209</v>
      </c>
      <c r="C48" s="3" t="s">
        <v>200</v>
      </c>
      <c r="D48" s="3" t="s">
        <v>1277</v>
      </c>
      <c r="E48" s="3" t="s">
        <v>201</v>
      </c>
      <c r="F48" s="3" t="s">
        <v>1654</v>
      </c>
      <c r="G48" s="3" t="s">
        <v>210</v>
      </c>
      <c r="H48" s="3" t="s">
        <v>211</v>
      </c>
      <c r="I48" s="3"/>
      <c r="J48" s="4" t="b">
        <v>0</v>
      </c>
      <c r="K48" s="3">
        <f t="shared" si="1"/>
        <v>100</v>
      </c>
      <c r="L48" s="3"/>
      <c r="M48" s="3"/>
      <c r="N48" s="3" t="b">
        <v>0</v>
      </c>
      <c r="O48" s="3"/>
      <c r="P48" s="3"/>
      <c r="Q48" s="3"/>
      <c r="R48" s="3" t="s">
        <v>1276</v>
      </c>
      <c r="S48" s="3" t="s">
        <v>212</v>
      </c>
      <c r="T48" s="3" t="s">
        <v>26</v>
      </c>
      <c r="U48" s="3" t="b">
        <v>1</v>
      </c>
      <c r="V48" s="3"/>
      <c r="W48" s="3" t="e">
        <f t="shared" si="0"/>
        <v>#VALUE!</v>
      </c>
      <c r="X48" s="3"/>
      <c r="Y48" s="3"/>
      <c r="Z48" s="3"/>
      <c r="AA48" s="3" t="str">
        <f t="shared" si="2"/>
        <v>Species</v>
      </c>
      <c r="AB48" s="3"/>
      <c r="AC48" s="3"/>
      <c r="AD48" s="3"/>
      <c r="AE48" s="3"/>
      <c r="AF48" s="5">
        <v>100</v>
      </c>
      <c r="AG48" s="3" t="s">
        <v>1284</v>
      </c>
      <c r="AH48" s="3">
        <v>120</v>
      </c>
      <c r="AI48" s="3">
        <v>260</v>
      </c>
      <c r="AJ48" s="3">
        <v>30</v>
      </c>
      <c r="AK48" s="3">
        <v>50</v>
      </c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6" t="e">
        <v>#NUM!</v>
      </c>
      <c r="BF48" s="6">
        <v>0</v>
      </c>
      <c r="BG48" s="6" t="e">
        <v>#NUM!</v>
      </c>
    </row>
    <row r="49" spans="1:59" ht="15.75" x14ac:dyDescent="0.25">
      <c r="A49" s="3">
        <v>45</v>
      </c>
      <c r="B49" s="3" t="s">
        <v>199</v>
      </c>
      <c r="C49" s="3" t="s">
        <v>200</v>
      </c>
      <c r="D49" s="3" t="s">
        <v>1277</v>
      </c>
      <c r="E49" s="3" t="s">
        <v>201</v>
      </c>
      <c r="F49" s="3" t="s">
        <v>1285</v>
      </c>
      <c r="G49" s="3" t="s">
        <v>202</v>
      </c>
      <c r="H49" s="3" t="s">
        <v>203</v>
      </c>
      <c r="I49" s="3"/>
      <c r="J49" s="4" t="b">
        <v>1</v>
      </c>
      <c r="K49" s="3">
        <f t="shared" si="1"/>
        <v>50</v>
      </c>
      <c r="L49" s="3"/>
      <c r="M49" s="3"/>
      <c r="N49" s="3" t="b">
        <v>1</v>
      </c>
      <c r="O49" s="3"/>
      <c r="P49" s="3">
        <v>62.400001525878899</v>
      </c>
      <c r="Q49" s="3" t="s">
        <v>1286</v>
      </c>
      <c r="R49" s="3" t="s">
        <v>1276</v>
      </c>
      <c r="S49" s="3" t="s">
        <v>205</v>
      </c>
      <c r="T49" s="3" t="s">
        <v>26</v>
      </c>
      <c r="U49" s="3" t="b">
        <v>0</v>
      </c>
      <c r="V49" s="3">
        <v>0.70999997854232799</v>
      </c>
      <c r="W49" s="3" t="e">
        <f t="shared" si="0"/>
        <v>#VALUE!</v>
      </c>
      <c r="X49" s="3">
        <v>9</v>
      </c>
      <c r="Y49" s="3">
        <v>0.79000002145767201</v>
      </c>
      <c r="Z49" s="3"/>
      <c r="AA49" s="3" t="str">
        <f t="shared" si="2"/>
        <v>Species</v>
      </c>
      <c r="AB49" s="3">
        <v>30</v>
      </c>
      <c r="AC49" s="3" t="s">
        <v>1183</v>
      </c>
      <c r="AD49" s="3" t="s">
        <v>1183</v>
      </c>
      <c r="AE49" s="3">
        <v>30</v>
      </c>
      <c r="AF49" s="5">
        <v>50</v>
      </c>
      <c r="AG49" s="3" t="s">
        <v>1287</v>
      </c>
      <c r="AH49" s="3">
        <v>50</v>
      </c>
      <c r="AI49" s="3">
        <v>100</v>
      </c>
      <c r="AJ49" s="3">
        <v>15</v>
      </c>
      <c r="AK49" s="3">
        <v>20</v>
      </c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6">
        <v>26</v>
      </c>
      <c r="BF49" s="6">
        <v>7008</v>
      </c>
      <c r="BG49" s="6">
        <v>144</v>
      </c>
    </row>
    <row r="50" spans="1:59" ht="15.75" x14ac:dyDescent="0.25">
      <c r="A50" s="3">
        <v>46</v>
      </c>
      <c r="B50" s="3" t="s">
        <v>366</v>
      </c>
      <c r="C50" s="3" t="s">
        <v>200</v>
      </c>
      <c r="D50" s="3" t="s">
        <v>1288</v>
      </c>
      <c r="E50" s="3" t="s">
        <v>367</v>
      </c>
      <c r="F50" s="3" t="s">
        <v>1289</v>
      </c>
      <c r="G50" s="3" t="s">
        <v>368</v>
      </c>
      <c r="H50" s="3" t="s">
        <v>369</v>
      </c>
      <c r="I50" s="3"/>
      <c r="J50" s="4" t="b">
        <v>0</v>
      </c>
      <c r="K50" s="3">
        <f t="shared" si="1"/>
        <v>75</v>
      </c>
      <c r="L50" s="3"/>
      <c r="M50" s="3"/>
      <c r="N50" s="3" t="b">
        <v>1</v>
      </c>
      <c r="O50" s="3"/>
      <c r="P50" s="3">
        <v>40.5</v>
      </c>
      <c r="Q50" s="3"/>
      <c r="R50" s="3" t="s">
        <v>1276</v>
      </c>
      <c r="S50" s="3" t="s">
        <v>212</v>
      </c>
      <c r="T50" s="3" t="s">
        <v>26</v>
      </c>
      <c r="U50" s="3" t="b">
        <v>0</v>
      </c>
      <c r="V50" s="3">
        <v>0.75999999046325695</v>
      </c>
      <c r="W50" s="3" t="e">
        <f t="shared" si="0"/>
        <v>#VALUE!</v>
      </c>
      <c r="X50" s="3">
        <v>9</v>
      </c>
      <c r="Y50" s="3">
        <v>0.79000002145767201</v>
      </c>
      <c r="Z50" s="3"/>
      <c r="AA50" s="3" t="str">
        <f t="shared" si="2"/>
        <v>Species</v>
      </c>
      <c r="AB50" s="3">
        <v>90</v>
      </c>
      <c r="AC50" s="3" t="s">
        <v>1183</v>
      </c>
      <c r="AD50" s="3" t="s">
        <v>1183</v>
      </c>
      <c r="AE50" s="3">
        <v>90</v>
      </c>
      <c r="AF50" s="5">
        <v>75</v>
      </c>
      <c r="AG50" s="3" t="s">
        <v>1290</v>
      </c>
      <c r="AH50" s="3">
        <v>30</v>
      </c>
      <c r="AI50" s="3">
        <v>120</v>
      </c>
      <c r="AJ50" s="3">
        <v>15</v>
      </c>
      <c r="AK50" s="3">
        <v>30</v>
      </c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6">
        <v>18.400000000000013</v>
      </c>
      <c r="BF50" s="6">
        <v>63</v>
      </c>
      <c r="BG50" s="6">
        <v>35</v>
      </c>
    </row>
    <row r="51" spans="1:59" ht="15.75" x14ac:dyDescent="0.25">
      <c r="A51" s="3">
        <v>47</v>
      </c>
      <c r="B51" s="3" t="s">
        <v>271</v>
      </c>
      <c r="C51" s="3" t="s">
        <v>95</v>
      </c>
      <c r="D51" s="3" t="s">
        <v>1291</v>
      </c>
      <c r="E51" s="3" t="s">
        <v>272</v>
      </c>
      <c r="F51" s="3" t="s">
        <v>1292</v>
      </c>
      <c r="G51" s="3" t="s">
        <v>273</v>
      </c>
      <c r="H51" s="3" t="s">
        <v>274</v>
      </c>
      <c r="I51" s="3"/>
      <c r="J51" s="4" t="b">
        <v>1</v>
      </c>
      <c r="K51" s="3">
        <f t="shared" si="1"/>
        <v>100</v>
      </c>
      <c r="L51" s="3"/>
      <c r="M51" s="3"/>
      <c r="N51" s="3" t="b">
        <v>0</v>
      </c>
      <c r="O51" s="3"/>
      <c r="P51" s="3">
        <v>49.200000762939503</v>
      </c>
      <c r="Q51" s="3"/>
      <c r="R51" s="3" t="s">
        <v>1181</v>
      </c>
      <c r="S51" s="3" t="s">
        <v>54</v>
      </c>
      <c r="T51" s="3" t="s">
        <v>26</v>
      </c>
      <c r="U51" s="3" t="b">
        <v>0</v>
      </c>
      <c r="V51" s="3">
        <v>0.64999997615814198</v>
      </c>
      <c r="W51" s="3" t="e">
        <f t="shared" si="0"/>
        <v>#VALUE!</v>
      </c>
      <c r="X51" s="3">
        <v>9</v>
      </c>
      <c r="Y51" s="3">
        <v>0.79000002145767201</v>
      </c>
      <c r="Z51" s="3"/>
      <c r="AA51" s="3" t="str">
        <f t="shared" si="2"/>
        <v>Species</v>
      </c>
      <c r="AB51" s="3">
        <v>100</v>
      </c>
      <c r="AC51" s="3" t="s">
        <v>1183</v>
      </c>
      <c r="AD51" s="3" t="s">
        <v>1183</v>
      </c>
      <c r="AE51" s="3">
        <v>100</v>
      </c>
      <c r="AF51" s="5">
        <v>100</v>
      </c>
      <c r="AG51" s="3" t="s">
        <v>1293</v>
      </c>
      <c r="AH51" s="3" t="s">
        <v>1183</v>
      </c>
      <c r="AI51" s="3">
        <v>15</v>
      </c>
      <c r="AJ51" s="3" t="s">
        <v>1183</v>
      </c>
      <c r="AK51" s="3">
        <v>10</v>
      </c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6">
        <v>64.799999999999983</v>
      </c>
      <c r="BF51" s="6">
        <v>24</v>
      </c>
      <c r="BG51" s="6">
        <v>89</v>
      </c>
    </row>
    <row r="52" spans="1:59" ht="15.75" x14ac:dyDescent="0.25">
      <c r="A52" s="3">
        <v>48</v>
      </c>
      <c r="B52" s="3" t="s">
        <v>245</v>
      </c>
      <c r="C52" s="3" t="s">
        <v>42</v>
      </c>
      <c r="D52" s="3" t="s">
        <v>1198</v>
      </c>
      <c r="E52" s="3" t="s">
        <v>220</v>
      </c>
      <c r="F52" s="3" t="s">
        <v>1294</v>
      </c>
      <c r="G52" s="3" t="s">
        <v>246</v>
      </c>
      <c r="H52" s="3" t="s">
        <v>247</v>
      </c>
      <c r="I52" s="3"/>
      <c r="J52" s="4" t="b">
        <v>1</v>
      </c>
      <c r="K52" s="3">
        <f t="shared" si="1"/>
        <v>60</v>
      </c>
      <c r="L52" s="3"/>
      <c r="M52" s="3"/>
      <c r="N52" s="3" t="b">
        <v>1</v>
      </c>
      <c r="O52" s="3"/>
      <c r="P52" s="3">
        <v>51.299999237060497</v>
      </c>
      <c r="Q52" s="3" t="s">
        <v>1252</v>
      </c>
      <c r="R52" s="3" t="s">
        <v>1181</v>
      </c>
      <c r="S52" s="3" t="s">
        <v>248</v>
      </c>
      <c r="T52" s="3" t="s">
        <v>26</v>
      </c>
      <c r="U52" s="3" t="b">
        <v>0</v>
      </c>
      <c r="V52" s="3">
        <v>0.62999999523162797</v>
      </c>
      <c r="W52" s="3" t="e">
        <f t="shared" si="0"/>
        <v>#VALUE!</v>
      </c>
      <c r="X52" s="3">
        <v>9</v>
      </c>
      <c r="Y52" s="3">
        <v>0.79000002145767201</v>
      </c>
      <c r="Z52" s="3"/>
      <c r="AA52" s="3" t="str">
        <f t="shared" si="2"/>
        <v>Species</v>
      </c>
      <c r="AB52" s="3">
        <v>60</v>
      </c>
      <c r="AC52" s="3">
        <v>100</v>
      </c>
      <c r="AD52" s="3" t="s">
        <v>1208</v>
      </c>
      <c r="AE52" s="3">
        <v>60</v>
      </c>
      <c r="AF52" s="5">
        <v>60</v>
      </c>
      <c r="AG52" s="3" t="s">
        <v>1295</v>
      </c>
      <c r="AH52" s="3">
        <v>30</v>
      </c>
      <c r="AI52" s="3">
        <v>100</v>
      </c>
      <c r="AJ52" s="3">
        <v>20</v>
      </c>
      <c r="AK52" s="3">
        <v>30</v>
      </c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6">
        <v>49</v>
      </c>
      <c r="BF52" s="6">
        <v>128</v>
      </c>
      <c r="BG52" s="6">
        <v>81</v>
      </c>
    </row>
    <row r="53" spans="1:59" ht="15.75" x14ac:dyDescent="0.25">
      <c r="A53" s="3">
        <v>49</v>
      </c>
      <c r="B53" s="3" t="s">
        <v>275</v>
      </c>
      <c r="C53" s="3" t="s">
        <v>95</v>
      </c>
      <c r="D53" s="3" t="s">
        <v>1291</v>
      </c>
      <c r="E53" s="3" t="s">
        <v>272</v>
      </c>
      <c r="F53" s="3" t="s">
        <v>1296</v>
      </c>
      <c r="G53" s="3" t="s">
        <v>276</v>
      </c>
      <c r="H53" s="3" t="s">
        <v>277</v>
      </c>
      <c r="I53" s="3"/>
      <c r="J53" s="4" t="b">
        <v>0</v>
      </c>
      <c r="K53" s="3" t="str">
        <f t="shared" si="1"/>
        <v/>
      </c>
      <c r="L53" s="3"/>
      <c r="M53" s="3"/>
      <c r="N53" s="3" t="b">
        <v>0</v>
      </c>
      <c r="O53" s="3"/>
      <c r="P53" s="3">
        <v>40</v>
      </c>
      <c r="Q53" s="3"/>
      <c r="R53" s="3" t="s">
        <v>1181</v>
      </c>
      <c r="S53" s="3" t="s">
        <v>278</v>
      </c>
      <c r="T53" s="3" t="s">
        <v>26</v>
      </c>
      <c r="U53" s="3" t="b">
        <v>0</v>
      </c>
      <c r="V53" s="3">
        <v>0.64999997615814198</v>
      </c>
      <c r="W53" s="3" t="e">
        <f t="shared" si="0"/>
        <v>#VALUE!</v>
      </c>
      <c r="X53" s="3">
        <v>9</v>
      </c>
      <c r="Y53" s="3">
        <v>0.79000002145767201</v>
      </c>
      <c r="Z53" s="3"/>
      <c r="AA53" s="3" t="str">
        <f t="shared" si="2"/>
        <v>Species</v>
      </c>
      <c r="AB53" s="3" t="s">
        <v>1183</v>
      </c>
      <c r="AC53" s="3" t="s">
        <v>1183</v>
      </c>
      <c r="AD53" s="3" t="s">
        <v>1183</v>
      </c>
      <c r="AE53" s="3" t="s">
        <v>1183</v>
      </c>
      <c r="AF53" s="5" t="s">
        <v>1183</v>
      </c>
      <c r="AG53" s="3" t="s">
        <v>1183</v>
      </c>
      <c r="AH53" s="3" t="s">
        <v>1183</v>
      </c>
      <c r="AI53" s="3" t="s">
        <v>1183</v>
      </c>
      <c r="AJ53" s="3" t="s">
        <v>1183</v>
      </c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6">
        <v>14</v>
      </c>
      <c r="BF53" s="6">
        <v>1</v>
      </c>
      <c r="BG53" s="6">
        <v>14</v>
      </c>
    </row>
    <row r="54" spans="1:59" ht="15.75" x14ac:dyDescent="0.25">
      <c r="A54" s="3">
        <v>50</v>
      </c>
      <c r="B54" s="3" t="s">
        <v>261</v>
      </c>
      <c r="C54" s="3" t="s">
        <v>42</v>
      </c>
      <c r="D54" s="3" t="s">
        <v>1198</v>
      </c>
      <c r="E54" s="3" t="s">
        <v>220</v>
      </c>
      <c r="F54" s="3" t="s">
        <v>1297</v>
      </c>
      <c r="G54" s="3" t="s">
        <v>262</v>
      </c>
      <c r="H54" s="3" t="s">
        <v>263</v>
      </c>
      <c r="I54" s="3"/>
      <c r="J54" s="4" t="b">
        <v>1</v>
      </c>
      <c r="K54" s="3">
        <f t="shared" si="1"/>
        <v>15</v>
      </c>
      <c r="L54" s="3"/>
      <c r="M54" s="3"/>
      <c r="N54" s="3" t="b">
        <v>1</v>
      </c>
      <c r="O54" s="3"/>
      <c r="P54" s="3">
        <v>12.300000190734901</v>
      </c>
      <c r="Q54" s="3"/>
      <c r="R54" s="3" t="s">
        <v>1181</v>
      </c>
      <c r="S54" s="3" t="s">
        <v>264</v>
      </c>
      <c r="T54" s="3" t="s">
        <v>26</v>
      </c>
      <c r="U54" s="3" t="b">
        <v>0</v>
      </c>
      <c r="V54" s="3">
        <v>0.60000002384185802</v>
      </c>
      <c r="W54" s="3" t="e">
        <f t="shared" si="0"/>
        <v>#VALUE!</v>
      </c>
      <c r="X54" s="3">
        <v>9</v>
      </c>
      <c r="Y54" s="3">
        <v>0.79000002145767201</v>
      </c>
      <c r="Z54" s="3"/>
      <c r="AA54" s="3" t="str">
        <f t="shared" si="2"/>
        <v>Species</v>
      </c>
      <c r="AB54" s="3">
        <v>15</v>
      </c>
      <c r="AC54" s="3">
        <v>15</v>
      </c>
      <c r="AD54" s="3" t="s">
        <v>1208</v>
      </c>
      <c r="AE54" s="3">
        <v>15</v>
      </c>
      <c r="AF54" s="5">
        <v>15</v>
      </c>
      <c r="AG54" s="3" t="s">
        <v>1298</v>
      </c>
      <c r="AH54" s="3">
        <v>5</v>
      </c>
      <c r="AI54" s="3">
        <v>15</v>
      </c>
      <c r="AJ54" s="3">
        <v>4</v>
      </c>
      <c r="AK54" s="3">
        <v>8</v>
      </c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6">
        <v>27</v>
      </c>
      <c r="BF54" s="6">
        <v>2383</v>
      </c>
      <c r="BG54" s="6">
        <v>92</v>
      </c>
    </row>
    <row r="55" spans="1:59" ht="15.75" x14ac:dyDescent="0.25">
      <c r="A55" s="3">
        <v>51</v>
      </c>
      <c r="B55" s="3" t="s">
        <v>234</v>
      </c>
      <c r="C55" s="3" t="s">
        <v>42</v>
      </c>
      <c r="D55" s="3" t="s">
        <v>1198</v>
      </c>
      <c r="E55" s="3" t="s">
        <v>220</v>
      </c>
      <c r="F55" s="3" t="s">
        <v>1299</v>
      </c>
      <c r="G55" s="3" t="s">
        <v>235</v>
      </c>
      <c r="H55" s="3" t="s">
        <v>236</v>
      </c>
      <c r="I55" s="3" t="s">
        <v>1300</v>
      </c>
      <c r="J55" s="4" t="b">
        <v>0</v>
      </c>
      <c r="K55" s="3">
        <f t="shared" si="1"/>
        <v>15</v>
      </c>
      <c r="L55" s="3"/>
      <c r="M55" s="3"/>
      <c r="N55" s="3" t="b">
        <v>0</v>
      </c>
      <c r="O55" s="3"/>
      <c r="P55" s="3">
        <v>15</v>
      </c>
      <c r="Q55" s="3"/>
      <c r="R55" s="3" t="s">
        <v>1181</v>
      </c>
      <c r="S55" s="3" t="s">
        <v>237</v>
      </c>
      <c r="T55" s="3" t="s">
        <v>26</v>
      </c>
      <c r="U55" s="3" t="b">
        <v>0</v>
      </c>
      <c r="V55" s="3">
        <v>0.5</v>
      </c>
      <c r="W55" s="3" t="e">
        <f t="shared" si="0"/>
        <v>#VALUE!</v>
      </c>
      <c r="X55" s="3">
        <v>9</v>
      </c>
      <c r="Y55" s="3">
        <v>0.79000002145767201</v>
      </c>
      <c r="Z55" s="3"/>
      <c r="AA55" s="3" t="str">
        <f t="shared" si="2"/>
        <v>Species</v>
      </c>
      <c r="AB55" s="3">
        <v>15</v>
      </c>
      <c r="AC55" s="3" t="s">
        <v>1183</v>
      </c>
      <c r="AD55" s="3" t="s">
        <v>1183</v>
      </c>
      <c r="AE55" s="3">
        <v>15</v>
      </c>
      <c r="AF55" s="5">
        <v>15</v>
      </c>
      <c r="AG55" s="3" t="s">
        <v>1183</v>
      </c>
      <c r="AH55" s="3" t="s">
        <v>1183</v>
      </c>
      <c r="AI55" s="3" t="s">
        <v>1183</v>
      </c>
      <c r="AJ55" s="3" t="s">
        <v>1183</v>
      </c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6" t="e">
        <v>#NUM!</v>
      </c>
      <c r="BF55" s="6">
        <v>0</v>
      </c>
      <c r="BG55" s="6" t="e">
        <v>#NUM!</v>
      </c>
    </row>
    <row r="56" spans="1:59" ht="15.75" x14ac:dyDescent="0.25">
      <c r="A56" s="3">
        <v>52</v>
      </c>
      <c r="B56" s="3" t="s">
        <v>224</v>
      </c>
      <c r="C56" s="3" t="s">
        <v>42</v>
      </c>
      <c r="D56" s="3" t="s">
        <v>1198</v>
      </c>
      <c r="E56" s="3" t="s">
        <v>220</v>
      </c>
      <c r="F56" s="3" t="s">
        <v>1301</v>
      </c>
      <c r="G56" s="3" t="s">
        <v>225</v>
      </c>
      <c r="H56" s="3" t="s">
        <v>226</v>
      </c>
      <c r="I56" s="3"/>
      <c r="J56" s="4" t="b">
        <v>0</v>
      </c>
      <c r="K56" s="3">
        <f t="shared" si="1"/>
        <v>50</v>
      </c>
      <c r="L56" s="3"/>
      <c r="M56" s="3"/>
      <c r="N56" s="3" t="b">
        <v>0</v>
      </c>
      <c r="O56" s="3"/>
      <c r="P56" s="3">
        <v>60</v>
      </c>
      <c r="Q56" s="3"/>
      <c r="R56" s="3" t="s">
        <v>1181</v>
      </c>
      <c r="S56" s="3" t="s">
        <v>227</v>
      </c>
      <c r="T56" s="3" t="s">
        <v>26</v>
      </c>
      <c r="U56" s="3" t="b">
        <v>0</v>
      </c>
      <c r="V56" s="3">
        <v>0.55000001192092896</v>
      </c>
      <c r="W56" s="3" t="e">
        <f t="shared" si="0"/>
        <v>#VALUE!</v>
      </c>
      <c r="X56" s="3">
        <v>9</v>
      </c>
      <c r="Y56" s="3">
        <v>0.79000002145767201</v>
      </c>
      <c r="Z56" s="3"/>
      <c r="AA56" s="3" t="str">
        <f t="shared" si="2"/>
        <v>Species</v>
      </c>
      <c r="AB56" s="3">
        <v>50</v>
      </c>
      <c r="AC56" s="3">
        <v>60</v>
      </c>
      <c r="AD56" s="3" t="s">
        <v>1302</v>
      </c>
      <c r="AE56" s="3">
        <v>50</v>
      </c>
      <c r="AF56" s="5">
        <v>50</v>
      </c>
      <c r="AG56" s="3"/>
      <c r="AH56" s="3" t="s">
        <v>1183</v>
      </c>
      <c r="AI56" s="3" t="s">
        <v>1183</v>
      </c>
      <c r="AJ56" s="3" t="s">
        <v>1183</v>
      </c>
      <c r="AK56" s="3"/>
      <c r="AL56" s="3"/>
      <c r="AM56" s="3">
        <v>1</v>
      </c>
      <c r="AN56" s="3">
        <v>2</v>
      </c>
      <c r="AO56" s="3">
        <v>30</v>
      </c>
      <c r="AP56" s="3">
        <v>50</v>
      </c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6">
        <v>37.600000000000009</v>
      </c>
      <c r="BF56" s="6">
        <v>135</v>
      </c>
      <c r="BG56" s="6">
        <v>68.5</v>
      </c>
    </row>
    <row r="57" spans="1:59" ht="15.75" x14ac:dyDescent="0.25">
      <c r="A57" s="3">
        <v>53</v>
      </c>
      <c r="B57" s="3" t="s">
        <v>268</v>
      </c>
      <c r="C57" s="3" t="s">
        <v>42</v>
      </c>
      <c r="D57" s="3" t="s">
        <v>1198</v>
      </c>
      <c r="E57" s="3" t="s">
        <v>220</v>
      </c>
      <c r="F57" s="3" t="s">
        <v>1303</v>
      </c>
      <c r="G57" s="3" t="s">
        <v>269</v>
      </c>
      <c r="H57" s="3" t="s">
        <v>270</v>
      </c>
      <c r="I57" s="3"/>
      <c r="J57" s="4" t="b">
        <v>0</v>
      </c>
      <c r="K57" s="3" t="str">
        <f t="shared" si="1"/>
        <v/>
      </c>
      <c r="L57" s="3"/>
      <c r="M57" s="3"/>
      <c r="N57" s="3" t="b">
        <v>0</v>
      </c>
      <c r="O57" s="3"/>
      <c r="P57" s="3">
        <v>40</v>
      </c>
      <c r="Q57" s="3"/>
      <c r="R57" s="3" t="s">
        <v>1181</v>
      </c>
      <c r="S57" s="3"/>
      <c r="T57" s="3" t="s">
        <v>26</v>
      </c>
      <c r="U57" s="3" t="b">
        <v>0</v>
      </c>
      <c r="V57" s="3">
        <v>0.55000001192092896</v>
      </c>
      <c r="W57" s="3" t="str">
        <f t="shared" si="0"/>
        <v/>
      </c>
      <c r="X57" s="3">
        <v>9</v>
      </c>
      <c r="Y57" s="3">
        <v>0.79000002145767201</v>
      </c>
      <c r="Z57" s="3"/>
      <c r="AA57" s="3" t="str">
        <f t="shared" si="2"/>
        <v>Species</v>
      </c>
      <c r="AB57" s="3" t="s">
        <v>1183</v>
      </c>
      <c r="AC57" s="3" t="s">
        <v>1183</v>
      </c>
      <c r="AD57" s="3" t="s">
        <v>1183</v>
      </c>
      <c r="AE57" s="3" t="s">
        <v>1183</v>
      </c>
      <c r="AF57" s="5" t="s">
        <v>1183</v>
      </c>
      <c r="AG57" s="3" t="s">
        <v>1183</v>
      </c>
      <c r="AH57" s="3" t="s">
        <v>1183</v>
      </c>
      <c r="AI57" s="3" t="s">
        <v>1183</v>
      </c>
      <c r="AJ57" s="3" t="s">
        <v>1183</v>
      </c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6" t="e">
        <v>#NUM!</v>
      </c>
      <c r="BF57" s="6">
        <v>0</v>
      </c>
      <c r="BG57" s="6" t="e">
        <v>#NUM!</v>
      </c>
    </row>
    <row r="58" spans="1:59" ht="15.75" x14ac:dyDescent="0.25">
      <c r="A58" s="3">
        <v>54</v>
      </c>
      <c r="B58" s="3" t="s">
        <v>249</v>
      </c>
      <c r="C58" s="3" t="s">
        <v>42</v>
      </c>
      <c r="D58" s="3" t="s">
        <v>1198</v>
      </c>
      <c r="E58" s="3" t="s">
        <v>220</v>
      </c>
      <c r="F58" s="3" t="s">
        <v>1304</v>
      </c>
      <c r="G58" s="3" t="s">
        <v>250</v>
      </c>
      <c r="H58" s="3" t="s">
        <v>251</v>
      </c>
      <c r="I58" s="3"/>
      <c r="J58" s="4" t="b">
        <v>0</v>
      </c>
      <c r="K58" s="3">
        <f t="shared" si="1"/>
        <v>40</v>
      </c>
      <c r="L58" s="3"/>
      <c r="M58" s="3"/>
      <c r="N58" s="3" t="b">
        <v>1</v>
      </c>
      <c r="O58" s="3"/>
      <c r="P58" s="3">
        <v>40</v>
      </c>
      <c r="Q58" s="3"/>
      <c r="R58" s="3" t="s">
        <v>1181</v>
      </c>
      <c r="S58" s="3" t="s">
        <v>252</v>
      </c>
      <c r="T58" s="3" t="s">
        <v>26</v>
      </c>
      <c r="U58" s="3" t="b">
        <v>0</v>
      </c>
      <c r="V58" s="3">
        <v>0.64999997615814198</v>
      </c>
      <c r="W58" s="3" t="e">
        <f t="shared" si="0"/>
        <v>#VALUE!</v>
      </c>
      <c r="X58" s="3">
        <v>9</v>
      </c>
      <c r="Y58" s="3">
        <v>0.79000002145767201</v>
      </c>
      <c r="Z58" s="3"/>
      <c r="AA58" s="3" t="str">
        <f t="shared" si="2"/>
        <v>Species</v>
      </c>
      <c r="AB58" s="3" t="s">
        <v>1183</v>
      </c>
      <c r="AC58" s="3">
        <v>40</v>
      </c>
      <c r="AD58" s="3" t="s">
        <v>1194</v>
      </c>
      <c r="AE58" s="3" t="s">
        <v>1183</v>
      </c>
      <c r="AF58" s="5">
        <v>40</v>
      </c>
      <c r="AG58" s="3" t="s">
        <v>1183</v>
      </c>
      <c r="AH58" s="3" t="s">
        <v>1183</v>
      </c>
      <c r="AI58" s="3" t="s">
        <v>1183</v>
      </c>
      <c r="AJ58" s="3" t="s">
        <v>1183</v>
      </c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6">
        <v>40</v>
      </c>
      <c r="BF58" s="6">
        <v>95</v>
      </c>
      <c r="BG58" s="6">
        <v>74</v>
      </c>
    </row>
    <row r="59" spans="1:59" ht="15.75" x14ac:dyDescent="0.25">
      <c r="A59" s="3">
        <v>55</v>
      </c>
      <c r="B59" s="3" t="s">
        <v>238</v>
      </c>
      <c r="C59" s="3" t="s">
        <v>42</v>
      </c>
      <c r="D59" s="3" t="s">
        <v>1198</v>
      </c>
      <c r="E59" s="3" t="s">
        <v>220</v>
      </c>
      <c r="F59" s="3" t="s">
        <v>1305</v>
      </c>
      <c r="G59" s="3" t="s">
        <v>239</v>
      </c>
      <c r="H59" s="3" t="s">
        <v>240</v>
      </c>
      <c r="I59" s="3"/>
      <c r="J59" s="4" t="b">
        <v>1</v>
      </c>
      <c r="K59" s="3">
        <f t="shared" si="1"/>
        <v>20</v>
      </c>
      <c r="L59" s="3"/>
      <c r="M59" s="3"/>
      <c r="N59" s="3" t="b">
        <v>0</v>
      </c>
      <c r="O59" s="3"/>
      <c r="P59" s="3">
        <v>16.200000762939499</v>
      </c>
      <c r="Q59" s="3" t="s">
        <v>1306</v>
      </c>
      <c r="R59" s="3" t="s">
        <v>1181</v>
      </c>
      <c r="S59" s="3" t="s">
        <v>241</v>
      </c>
      <c r="T59" s="3" t="s">
        <v>26</v>
      </c>
      <c r="U59" s="3" t="b">
        <v>0</v>
      </c>
      <c r="V59" s="3">
        <v>0.519999980926514</v>
      </c>
      <c r="W59" s="3" t="e">
        <f t="shared" si="0"/>
        <v>#VALUE!</v>
      </c>
      <c r="X59" s="3">
        <v>9</v>
      </c>
      <c r="Y59" s="3">
        <v>0.79000002145767201</v>
      </c>
      <c r="Z59" s="3"/>
      <c r="AA59" s="3" t="str">
        <f t="shared" si="2"/>
        <v>Species</v>
      </c>
      <c r="AB59" s="3">
        <v>25</v>
      </c>
      <c r="AC59" s="3">
        <v>30</v>
      </c>
      <c r="AD59" s="3" t="s">
        <v>1208</v>
      </c>
      <c r="AE59" s="3">
        <v>25</v>
      </c>
      <c r="AF59" s="5">
        <v>20</v>
      </c>
      <c r="AG59" s="3" t="s">
        <v>1307</v>
      </c>
      <c r="AH59" s="3">
        <v>10</v>
      </c>
      <c r="AI59" s="3">
        <v>30</v>
      </c>
      <c r="AJ59" s="3">
        <v>5</v>
      </c>
      <c r="AK59" s="3">
        <v>15</v>
      </c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6">
        <v>20.6</v>
      </c>
      <c r="BF59" s="6">
        <v>45</v>
      </c>
      <c r="BG59" s="6">
        <v>64</v>
      </c>
    </row>
    <row r="60" spans="1:59" ht="15.75" x14ac:dyDescent="0.25">
      <c r="A60" s="3">
        <v>56</v>
      </c>
      <c r="B60" s="3" t="s">
        <v>265</v>
      </c>
      <c r="C60" s="3" t="s">
        <v>42</v>
      </c>
      <c r="D60" s="3" t="s">
        <v>1198</v>
      </c>
      <c r="E60" s="3" t="s">
        <v>220</v>
      </c>
      <c r="F60" s="3" t="s">
        <v>1308</v>
      </c>
      <c r="G60" s="3" t="s">
        <v>266</v>
      </c>
      <c r="H60" s="3" t="s">
        <v>267</v>
      </c>
      <c r="I60" s="3"/>
      <c r="J60" s="4" t="b">
        <v>0</v>
      </c>
      <c r="K60" s="3">
        <f t="shared" si="1"/>
        <v>20</v>
      </c>
      <c r="L60" s="3"/>
      <c r="M60" s="3"/>
      <c r="N60" s="3" t="b">
        <v>0</v>
      </c>
      <c r="O60" s="3"/>
      <c r="P60" s="3">
        <v>40</v>
      </c>
      <c r="Q60" s="3"/>
      <c r="R60" s="3" t="s">
        <v>1181</v>
      </c>
      <c r="S60" s="3" t="s">
        <v>170</v>
      </c>
      <c r="T60" s="3" t="s">
        <v>26</v>
      </c>
      <c r="U60" s="3" t="b">
        <v>0</v>
      </c>
      <c r="V60" s="3">
        <v>0.62999999523162797</v>
      </c>
      <c r="W60" s="3" t="e">
        <f t="shared" si="0"/>
        <v>#VALUE!</v>
      </c>
      <c r="X60" s="3">
        <v>9</v>
      </c>
      <c r="Y60" s="3">
        <v>0.79000002145767201</v>
      </c>
      <c r="Z60" s="3"/>
      <c r="AA60" s="3" t="str">
        <f t="shared" si="2"/>
        <v>Species</v>
      </c>
      <c r="AB60" s="3" t="s">
        <v>1183</v>
      </c>
      <c r="AC60" s="3" t="s">
        <v>1183</v>
      </c>
      <c r="AD60" s="3" t="s">
        <v>1183</v>
      </c>
      <c r="AE60" s="3" t="s">
        <v>1183</v>
      </c>
      <c r="AF60" s="5">
        <v>20</v>
      </c>
      <c r="AG60" s="3" t="s">
        <v>1183</v>
      </c>
      <c r="AH60" s="3" t="s">
        <v>1183</v>
      </c>
      <c r="AI60" s="3" t="s">
        <v>1183</v>
      </c>
      <c r="AJ60" s="3" t="s">
        <v>1183</v>
      </c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6">
        <v>20</v>
      </c>
      <c r="BF60" s="6">
        <v>91</v>
      </c>
      <c r="BG60" s="6">
        <v>85</v>
      </c>
    </row>
    <row r="61" spans="1:59" ht="15.75" x14ac:dyDescent="0.25">
      <c r="A61" s="3">
        <v>57</v>
      </c>
      <c r="B61" s="3" t="s">
        <v>242</v>
      </c>
      <c r="C61" s="3" t="s">
        <v>42</v>
      </c>
      <c r="D61" s="3" t="s">
        <v>1198</v>
      </c>
      <c r="E61" s="3" t="s">
        <v>220</v>
      </c>
      <c r="F61" s="3" t="s">
        <v>1309</v>
      </c>
      <c r="G61" s="3" t="s">
        <v>243</v>
      </c>
      <c r="H61" s="3" t="s">
        <v>244</v>
      </c>
      <c r="I61" s="3"/>
      <c r="J61" s="4" t="b">
        <v>0</v>
      </c>
      <c r="K61" s="3" t="str">
        <f t="shared" si="1"/>
        <v/>
      </c>
      <c r="L61" s="3"/>
      <c r="M61" s="3"/>
      <c r="N61" s="3" t="b">
        <v>0</v>
      </c>
      <c r="O61" s="3"/>
      <c r="P61" s="3">
        <v>40</v>
      </c>
      <c r="Q61" s="3"/>
      <c r="R61" s="3" t="s">
        <v>1181</v>
      </c>
      <c r="S61" s="3"/>
      <c r="T61" s="3" t="s">
        <v>26</v>
      </c>
      <c r="U61" s="3" t="b">
        <v>0</v>
      </c>
      <c r="V61" s="3">
        <v>0.55000001192092896</v>
      </c>
      <c r="W61" s="3" t="str">
        <f t="shared" si="0"/>
        <v/>
      </c>
      <c r="X61" s="3">
        <v>9</v>
      </c>
      <c r="Y61" s="3">
        <v>0.79000002145767201</v>
      </c>
      <c r="Z61" s="3"/>
      <c r="AA61" s="3" t="str">
        <f t="shared" si="2"/>
        <v>Species</v>
      </c>
      <c r="AB61" s="3" t="s">
        <v>1183</v>
      </c>
      <c r="AC61" s="3" t="s">
        <v>1183</v>
      </c>
      <c r="AD61" s="3" t="s">
        <v>1183</v>
      </c>
      <c r="AE61" s="3" t="s">
        <v>1183</v>
      </c>
      <c r="AF61" s="5" t="s">
        <v>1183</v>
      </c>
      <c r="AG61" s="3" t="s">
        <v>1183</v>
      </c>
      <c r="AH61" s="3" t="s">
        <v>1183</v>
      </c>
      <c r="AI61" s="3" t="s">
        <v>1183</v>
      </c>
      <c r="AJ61" s="3" t="s">
        <v>1183</v>
      </c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6">
        <v>7.24</v>
      </c>
      <c r="BF61" s="6">
        <v>4</v>
      </c>
      <c r="BG61" s="6">
        <v>7.3</v>
      </c>
    </row>
    <row r="62" spans="1:59" ht="15.75" x14ac:dyDescent="0.25">
      <c r="A62" s="3">
        <v>58</v>
      </c>
      <c r="B62" s="3" t="s">
        <v>253</v>
      </c>
      <c r="C62" s="3" t="s">
        <v>42</v>
      </c>
      <c r="D62" s="3" t="s">
        <v>1198</v>
      </c>
      <c r="E62" s="3" t="s">
        <v>220</v>
      </c>
      <c r="F62" s="3" t="s">
        <v>1310</v>
      </c>
      <c r="G62" s="3" t="s">
        <v>254</v>
      </c>
      <c r="H62" s="3" t="s">
        <v>1311</v>
      </c>
      <c r="I62" s="3"/>
      <c r="J62" s="4" t="s">
        <v>1188</v>
      </c>
      <c r="K62" s="3" t="str">
        <f t="shared" si="1"/>
        <v/>
      </c>
      <c r="L62" s="3"/>
      <c r="M62" s="3"/>
      <c r="N62" s="3" t="b">
        <v>0</v>
      </c>
      <c r="O62" s="3"/>
      <c r="P62" s="3"/>
      <c r="Q62" s="3"/>
      <c r="R62" s="3" t="s">
        <v>1181</v>
      </c>
      <c r="S62" s="3"/>
      <c r="T62" s="3" t="s">
        <v>26</v>
      </c>
      <c r="U62" s="3"/>
      <c r="V62" s="3"/>
      <c r="W62" s="3" t="str">
        <f t="shared" si="0"/>
        <v/>
      </c>
      <c r="X62" s="3">
        <v>9</v>
      </c>
      <c r="Y62" s="3"/>
      <c r="Z62" s="3"/>
      <c r="AA62" s="3" t="str">
        <f t="shared" si="2"/>
        <v>Genus</v>
      </c>
      <c r="AB62" s="3" t="s">
        <v>1183</v>
      </c>
      <c r="AC62" s="3" t="s">
        <v>1183</v>
      </c>
      <c r="AD62" s="3" t="s">
        <v>1183</v>
      </c>
      <c r="AE62" s="3" t="s">
        <v>1183</v>
      </c>
      <c r="AF62" s="5"/>
      <c r="AG62" s="3" t="s">
        <v>1183</v>
      </c>
      <c r="AH62" s="3" t="s">
        <v>1183</v>
      </c>
      <c r="AI62" s="3" t="s">
        <v>1183</v>
      </c>
      <c r="AJ62" s="3" t="s">
        <v>1183</v>
      </c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6">
        <v>24</v>
      </c>
      <c r="BF62" s="6">
        <v>479</v>
      </c>
      <c r="BG62" s="6">
        <v>91</v>
      </c>
    </row>
    <row r="63" spans="1:59" ht="15.75" x14ac:dyDescent="0.25">
      <c r="A63" s="3">
        <v>59</v>
      </c>
      <c r="B63" s="3" t="s">
        <v>279</v>
      </c>
      <c r="C63" s="3" t="s">
        <v>95</v>
      </c>
      <c r="D63" s="3" t="s">
        <v>1291</v>
      </c>
      <c r="E63" s="3" t="s">
        <v>272</v>
      </c>
      <c r="F63" s="3" t="s">
        <v>1312</v>
      </c>
      <c r="G63" s="3" t="s">
        <v>280</v>
      </c>
      <c r="H63" s="3" t="s">
        <v>1313</v>
      </c>
      <c r="I63" s="3"/>
      <c r="J63" s="4" t="s">
        <v>1188</v>
      </c>
      <c r="K63" s="3" t="str">
        <f t="shared" si="1"/>
        <v/>
      </c>
      <c r="L63" s="3"/>
      <c r="M63" s="3"/>
      <c r="N63" s="3" t="b">
        <v>0</v>
      </c>
      <c r="O63" s="3"/>
      <c r="P63" s="3">
        <v>40</v>
      </c>
      <c r="Q63" s="3"/>
      <c r="R63" s="3" t="s">
        <v>1181</v>
      </c>
      <c r="S63" s="3"/>
      <c r="T63" s="3" t="s">
        <v>26</v>
      </c>
      <c r="U63" s="3"/>
      <c r="V63" s="3"/>
      <c r="W63" s="3" t="str">
        <f t="shared" si="0"/>
        <v/>
      </c>
      <c r="X63" s="3">
        <v>9</v>
      </c>
      <c r="Y63" s="3">
        <v>0.79000002145767201</v>
      </c>
      <c r="Z63" s="3"/>
      <c r="AA63" s="3" t="str">
        <f t="shared" si="2"/>
        <v>Genus</v>
      </c>
      <c r="AB63" s="3" t="s">
        <v>1183</v>
      </c>
      <c r="AC63" s="3" t="s">
        <v>1183</v>
      </c>
      <c r="AD63" s="3" t="s">
        <v>1183</v>
      </c>
      <c r="AE63" s="3" t="s">
        <v>1183</v>
      </c>
      <c r="AF63" s="5"/>
      <c r="AG63" s="3" t="s">
        <v>1183</v>
      </c>
      <c r="AH63" s="3" t="s">
        <v>1183</v>
      </c>
      <c r="AI63" s="3" t="s">
        <v>1183</v>
      </c>
      <c r="AJ63" s="3" t="s">
        <v>1183</v>
      </c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6">
        <v>54.400000000000013</v>
      </c>
      <c r="BF63" s="6">
        <v>69</v>
      </c>
      <c r="BG63" s="6">
        <v>72.400001525878906</v>
      </c>
    </row>
    <row r="64" spans="1:59" ht="15.75" x14ac:dyDescent="0.25">
      <c r="A64" s="3">
        <v>60</v>
      </c>
      <c r="B64" s="3" t="s">
        <v>282</v>
      </c>
      <c r="C64" s="3" t="s">
        <v>141</v>
      </c>
      <c r="D64" s="3" t="s">
        <v>1314</v>
      </c>
      <c r="E64" s="3" t="s">
        <v>283</v>
      </c>
      <c r="F64" s="3" t="s">
        <v>1315</v>
      </c>
      <c r="G64" s="3" t="s">
        <v>284</v>
      </c>
      <c r="H64" s="3" t="s">
        <v>285</v>
      </c>
      <c r="I64" s="3"/>
      <c r="J64" s="4" t="b">
        <v>1</v>
      </c>
      <c r="K64" s="3">
        <f t="shared" si="1"/>
        <v>50</v>
      </c>
      <c r="L64" s="3"/>
      <c r="M64" s="3"/>
      <c r="N64" s="3" t="b">
        <v>1</v>
      </c>
      <c r="O64" s="3"/>
      <c r="P64" s="3">
        <v>45.599998474121101</v>
      </c>
      <c r="Q64" s="3" t="s">
        <v>1316</v>
      </c>
      <c r="R64" s="3" t="s">
        <v>1181</v>
      </c>
      <c r="S64" s="3" t="s">
        <v>286</v>
      </c>
      <c r="T64" s="3" t="s">
        <v>26</v>
      </c>
      <c r="U64" s="3" t="b">
        <v>1</v>
      </c>
      <c r="V64" s="3">
        <v>0.79000002145767201</v>
      </c>
      <c r="W64" s="3" t="e">
        <f t="shared" si="0"/>
        <v>#VALUE!</v>
      </c>
      <c r="X64" s="3">
        <v>9</v>
      </c>
      <c r="Y64" s="3">
        <v>0.86000001430511497</v>
      </c>
      <c r="Z64" s="3"/>
      <c r="AA64" s="3" t="str">
        <f t="shared" si="2"/>
        <v>Species</v>
      </c>
      <c r="AB64" s="3">
        <v>60</v>
      </c>
      <c r="AC64" s="3" t="s">
        <v>1183</v>
      </c>
      <c r="AD64" s="3" t="s">
        <v>1183</v>
      </c>
      <c r="AE64" s="3">
        <v>60</v>
      </c>
      <c r="AF64" s="5">
        <v>50</v>
      </c>
      <c r="AG64" s="3" t="s">
        <v>1317</v>
      </c>
      <c r="AH64" s="3">
        <v>40</v>
      </c>
      <c r="AI64" s="3">
        <v>60</v>
      </c>
      <c r="AJ64" s="3">
        <v>15</v>
      </c>
      <c r="AK64" s="3">
        <v>23</v>
      </c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6">
        <v>11.969999885559092</v>
      </c>
      <c r="BF64" s="6">
        <v>224</v>
      </c>
      <c r="BG64" s="6">
        <v>109</v>
      </c>
    </row>
    <row r="65" spans="1:59" ht="15.75" x14ac:dyDescent="0.25">
      <c r="A65" s="3">
        <v>61</v>
      </c>
      <c r="B65" s="3" t="s">
        <v>803</v>
      </c>
      <c r="C65" s="3" t="s">
        <v>482</v>
      </c>
      <c r="D65" s="3" t="s">
        <v>1318</v>
      </c>
      <c r="E65" s="3" t="s">
        <v>804</v>
      </c>
      <c r="F65" s="3" t="s">
        <v>1319</v>
      </c>
      <c r="G65" s="3" t="s">
        <v>805</v>
      </c>
      <c r="H65" s="3" t="s">
        <v>806</v>
      </c>
      <c r="I65" s="3"/>
      <c r="J65" s="4" t="b">
        <v>0</v>
      </c>
      <c r="K65" s="3">
        <f t="shared" si="1"/>
        <v>40</v>
      </c>
      <c r="L65" s="3"/>
      <c r="M65" s="3"/>
      <c r="N65" s="3" t="b">
        <v>0</v>
      </c>
      <c r="O65" s="3"/>
      <c r="P65" s="3">
        <v>40</v>
      </c>
      <c r="Q65" s="3"/>
      <c r="R65" s="3" t="s">
        <v>1181</v>
      </c>
      <c r="S65" s="3" t="s">
        <v>252</v>
      </c>
      <c r="T65" s="3" t="s">
        <v>26</v>
      </c>
      <c r="U65" s="3" t="b">
        <v>0</v>
      </c>
      <c r="V65" s="3">
        <v>0.70999997854232799</v>
      </c>
      <c r="W65" s="3" t="e">
        <f t="shared" si="0"/>
        <v>#VALUE!</v>
      </c>
      <c r="X65" s="3">
        <v>9</v>
      </c>
      <c r="Y65" s="3">
        <v>0.79000002145767201</v>
      </c>
      <c r="Z65" s="3"/>
      <c r="AA65" s="3" t="str">
        <f t="shared" si="2"/>
        <v>Species</v>
      </c>
      <c r="AB65" s="3" t="s">
        <v>1183</v>
      </c>
      <c r="AC65" s="3" t="s">
        <v>1183</v>
      </c>
      <c r="AD65" s="3" t="s">
        <v>1183</v>
      </c>
      <c r="AE65" s="3" t="s">
        <v>1183</v>
      </c>
      <c r="AF65" s="5">
        <v>40</v>
      </c>
      <c r="AG65" s="3" t="s">
        <v>1183</v>
      </c>
      <c r="AH65" s="3" t="s">
        <v>1183</v>
      </c>
      <c r="AI65" s="3" t="s">
        <v>1183</v>
      </c>
      <c r="AJ65" s="3" t="s">
        <v>1183</v>
      </c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6">
        <v>47.400000000000006</v>
      </c>
      <c r="BF65" s="6">
        <v>97</v>
      </c>
      <c r="BG65" s="6">
        <v>70.010000000000005</v>
      </c>
    </row>
    <row r="66" spans="1:59" ht="15.75" x14ac:dyDescent="0.25">
      <c r="A66" s="3">
        <v>62</v>
      </c>
      <c r="B66" s="3" t="s">
        <v>877</v>
      </c>
      <c r="C66" s="3" t="s">
        <v>868</v>
      </c>
      <c r="D66" s="3" t="s">
        <v>1215</v>
      </c>
      <c r="E66" s="3" t="s">
        <v>869</v>
      </c>
      <c r="F66" s="3" t="s">
        <v>1320</v>
      </c>
      <c r="G66" s="3" t="s">
        <v>878</v>
      </c>
      <c r="H66" s="3" t="s">
        <v>879</v>
      </c>
      <c r="I66" s="3"/>
      <c r="J66" s="4" t="b">
        <v>1</v>
      </c>
      <c r="K66" s="3">
        <f t="shared" si="1"/>
        <v>100</v>
      </c>
      <c r="L66" s="3"/>
      <c r="M66" s="3"/>
      <c r="N66" s="3" t="b">
        <v>0</v>
      </c>
      <c r="O66" s="3"/>
      <c r="P66" s="3">
        <v>110.40000152587901</v>
      </c>
      <c r="Q66" s="3" t="s">
        <v>1321</v>
      </c>
      <c r="R66" s="3" t="s">
        <v>1181</v>
      </c>
      <c r="S66" s="3" t="s">
        <v>880</v>
      </c>
      <c r="T66" s="3" t="s">
        <v>26</v>
      </c>
      <c r="U66" s="3" t="b">
        <v>0</v>
      </c>
      <c r="V66" s="3">
        <v>0.34999999403953602</v>
      </c>
      <c r="W66" s="3" t="e">
        <f t="shared" ref="W66:W129" si="3">IF(OR(H66="",S66=""),"",H66/S66)</f>
        <v>#VALUE!</v>
      </c>
      <c r="X66" s="3">
        <v>9</v>
      </c>
      <c r="Y66" s="3">
        <v>0.85000002384185802</v>
      </c>
      <c r="Z66" s="3"/>
      <c r="AA66" s="3" t="str">
        <f t="shared" si="2"/>
        <v>Species</v>
      </c>
      <c r="AB66" s="3">
        <v>100</v>
      </c>
      <c r="AC66" s="3" t="s">
        <v>1183</v>
      </c>
      <c r="AD66" s="3" t="s">
        <v>1183</v>
      </c>
      <c r="AE66" s="3">
        <v>100</v>
      </c>
      <c r="AF66" s="5">
        <v>100</v>
      </c>
      <c r="AG66" s="3" t="s">
        <v>1322</v>
      </c>
      <c r="AH66" s="3">
        <v>60</v>
      </c>
      <c r="AI66" s="3">
        <v>120</v>
      </c>
      <c r="AJ66" s="3">
        <v>20</v>
      </c>
      <c r="AK66" s="3">
        <v>30</v>
      </c>
      <c r="AL66" s="3"/>
      <c r="AM66" s="3">
        <v>1</v>
      </c>
      <c r="AN66" s="3">
        <v>2</v>
      </c>
      <c r="AO66" s="3">
        <v>40</v>
      </c>
      <c r="AP66" s="3">
        <v>80</v>
      </c>
      <c r="AQ66" s="3"/>
      <c r="AR66" s="3"/>
      <c r="AS66" s="3">
        <v>100</v>
      </c>
      <c r="AT66" s="3"/>
      <c r="AU66" s="3">
        <v>30</v>
      </c>
      <c r="AV66" s="3"/>
      <c r="AW66" s="3"/>
      <c r="AX66" s="3"/>
      <c r="AY66" s="3"/>
      <c r="AZ66" s="3"/>
      <c r="BA66" s="3"/>
      <c r="BB66" s="3"/>
      <c r="BC66" s="3"/>
      <c r="BD66" s="3"/>
      <c r="BE66" s="6">
        <v>110.80000000000001</v>
      </c>
      <c r="BF66" s="6">
        <v>243</v>
      </c>
      <c r="BG66" s="6">
        <v>198</v>
      </c>
    </row>
    <row r="67" spans="1:59" ht="15.75" x14ac:dyDescent="0.25">
      <c r="A67" s="3">
        <v>64</v>
      </c>
      <c r="B67" s="3" t="s">
        <v>59</v>
      </c>
      <c r="C67" s="3" t="s">
        <v>42</v>
      </c>
      <c r="D67" s="3" t="s">
        <v>1191</v>
      </c>
      <c r="E67" s="3" t="s">
        <v>51</v>
      </c>
      <c r="F67" s="3" t="s">
        <v>1324</v>
      </c>
      <c r="G67" s="3" t="s">
        <v>60</v>
      </c>
      <c r="H67" s="3" t="s">
        <v>61</v>
      </c>
      <c r="I67" s="3"/>
      <c r="J67" s="4" t="b">
        <v>0</v>
      </c>
      <c r="K67" s="3">
        <f t="shared" ref="K67:K130" si="4">IF(AF67="","",AF67)</f>
        <v>30</v>
      </c>
      <c r="L67" s="3"/>
      <c r="M67" s="3"/>
      <c r="N67" s="3" t="b">
        <v>0</v>
      </c>
      <c r="O67" s="3"/>
      <c r="P67" s="3">
        <v>40</v>
      </c>
      <c r="Q67" s="3"/>
      <c r="R67" s="3" t="s">
        <v>1181</v>
      </c>
      <c r="S67" s="3"/>
      <c r="T67" s="3" t="s">
        <v>26</v>
      </c>
      <c r="U67" s="3" t="b">
        <v>0</v>
      </c>
      <c r="V67" s="3">
        <v>0.5</v>
      </c>
      <c r="W67" s="3" t="str">
        <f t="shared" si="3"/>
        <v/>
      </c>
      <c r="X67" s="3">
        <v>9</v>
      </c>
      <c r="Y67" s="3">
        <v>0.85000002384185802</v>
      </c>
      <c r="Z67" s="3"/>
      <c r="AA67" s="3" t="str">
        <f t="shared" ref="AA67:AA130" si="5">IF(RIGHT(B67,3)="spp","Genus","Species")</f>
        <v>Species</v>
      </c>
      <c r="AB67" s="3" t="s">
        <v>1183</v>
      </c>
      <c r="AC67" s="3" t="s">
        <v>1183</v>
      </c>
      <c r="AD67" s="3" t="s">
        <v>1183</v>
      </c>
      <c r="AE67" s="3" t="s">
        <v>1183</v>
      </c>
      <c r="AF67" s="5">
        <v>30</v>
      </c>
      <c r="AG67" s="3" t="s">
        <v>1183</v>
      </c>
      <c r="AH67" s="3" t="s">
        <v>1183</v>
      </c>
      <c r="AI67" s="3" t="s">
        <v>1183</v>
      </c>
      <c r="AJ67" s="3" t="s">
        <v>1183</v>
      </c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6">
        <v>31</v>
      </c>
      <c r="BF67" s="6">
        <v>729</v>
      </c>
      <c r="BG67" s="6">
        <v>90</v>
      </c>
    </row>
    <row r="68" spans="1:59" ht="15.75" x14ac:dyDescent="0.25">
      <c r="A68" s="3">
        <v>65</v>
      </c>
      <c r="B68" s="3" t="s">
        <v>50</v>
      </c>
      <c r="C68" s="3" t="s">
        <v>42</v>
      </c>
      <c r="D68" s="3" t="s">
        <v>1191</v>
      </c>
      <c r="E68" s="3" t="s">
        <v>51</v>
      </c>
      <c r="F68" s="3" t="s">
        <v>1325</v>
      </c>
      <c r="G68" s="3" t="s">
        <v>52</v>
      </c>
      <c r="H68" s="3" t="s">
        <v>53</v>
      </c>
      <c r="I68" s="3"/>
      <c r="J68" s="4" t="b">
        <v>1</v>
      </c>
      <c r="K68" s="3">
        <f t="shared" si="4"/>
        <v>30</v>
      </c>
      <c r="L68" s="3"/>
      <c r="M68" s="3"/>
      <c r="N68" s="3" t="b">
        <v>0</v>
      </c>
      <c r="O68" s="3"/>
      <c r="P68" s="3">
        <v>30</v>
      </c>
      <c r="Q68" s="3"/>
      <c r="R68" s="3" t="s">
        <v>1181</v>
      </c>
      <c r="S68" s="3" t="s">
        <v>54</v>
      </c>
      <c r="T68" s="3" t="s">
        <v>26</v>
      </c>
      <c r="U68" s="3" t="b">
        <v>0</v>
      </c>
      <c r="V68" s="3">
        <v>0.5</v>
      </c>
      <c r="W68" s="3" t="e">
        <f t="shared" si="3"/>
        <v>#VALUE!</v>
      </c>
      <c r="X68" s="3">
        <v>9</v>
      </c>
      <c r="Y68" s="3">
        <v>0.85000002384185802</v>
      </c>
      <c r="Z68" s="3"/>
      <c r="AA68" s="3" t="str">
        <f t="shared" si="5"/>
        <v>Species</v>
      </c>
      <c r="AB68" s="3">
        <v>30</v>
      </c>
      <c r="AC68" s="3" t="s">
        <v>1183</v>
      </c>
      <c r="AD68" s="3" t="s">
        <v>1183</v>
      </c>
      <c r="AE68" s="3">
        <v>30</v>
      </c>
      <c r="AF68" s="5">
        <v>30</v>
      </c>
      <c r="AG68" s="3" t="s">
        <v>1183</v>
      </c>
      <c r="AH68" s="3" t="s">
        <v>1183</v>
      </c>
      <c r="AI68" s="3" t="s">
        <v>1183</v>
      </c>
      <c r="AJ68" s="3" t="s">
        <v>1183</v>
      </c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6">
        <v>28</v>
      </c>
      <c r="BF68" s="6">
        <v>317</v>
      </c>
      <c r="BG68" s="6">
        <v>85</v>
      </c>
    </row>
    <row r="69" spans="1:59" ht="15.75" x14ac:dyDescent="0.25">
      <c r="A69" s="3">
        <v>66</v>
      </c>
      <c r="B69" s="3" t="s">
        <v>597</v>
      </c>
      <c r="C69" s="3" t="s">
        <v>593</v>
      </c>
      <c r="D69" s="3" t="s">
        <v>1326</v>
      </c>
      <c r="E69" s="3" t="s">
        <v>594</v>
      </c>
      <c r="F69" s="3" t="s">
        <v>1327</v>
      </c>
      <c r="G69" s="3" t="s">
        <v>598</v>
      </c>
      <c r="H69" s="3" t="s">
        <v>599</v>
      </c>
      <c r="I69" s="3"/>
      <c r="J69" s="4" t="b">
        <v>1</v>
      </c>
      <c r="K69" s="3">
        <f t="shared" si="4"/>
        <v>45</v>
      </c>
      <c r="L69" s="3"/>
      <c r="M69" s="3"/>
      <c r="N69" s="3" t="b">
        <v>0</v>
      </c>
      <c r="O69" s="3"/>
      <c r="P69" s="3">
        <v>63.599998474121101</v>
      </c>
      <c r="Q69" s="3"/>
      <c r="R69" s="3" t="s">
        <v>1181</v>
      </c>
      <c r="S69" s="3" t="s">
        <v>264</v>
      </c>
      <c r="T69" s="3" t="s">
        <v>26</v>
      </c>
      <c r="U69" s="3" t="b">
        <v>0</v>
      </c>
      <c r="V69" s="3">
        <v>0.69999998807907104</v>
      </c>
      <c r="W69" s="3" t="e">
        <f t="shared" si="3"/>
        <v>#VALUE!</v>
      </c>
      <c r="X69" s="3">
        <v>9</v>
      </c>
      <c r="Y69" s="3">
        <v>0.79000002145767201</v>
      </c>
      <c r="Z69" s="3"/>
      <c r="AA69" s="3" t="str">
        <f t="shared" si="5"/>
        <v>Species</v>
      </c>
      <c r="AB69" s="3" t="s">
        <v>1183</v>
      </c>
      <c r="AC69" s="3" t="s">
        <v>1183</v>
      </c>
      <c r="AD69" s="3" t="s">
        <v>1183</v>
      </c>
      <c r="AE69" s="3" t="s">
        <v>1183</v>
      </c>
      <c r="AF69" s="5">
        <v>45</v>
      </c>
      <c r="AG69" s="3" t="s">
        <v>1328</v>
      </c>
      <c r="AH69" s="3">
        <v>30</v>
      </c>
      <c r="AI69" s="3">
        <v>60</v>
      </c>
      <c r="AJ69" s="3">
        <v>18</v>
      </c>
      <c r="AK69" s="3">
        <v>24</v>
      </c>
      <c r="AL69" s="3"/>
      <c r="AM69" s="3">
        <v>1</v>
      </c>
      <c r="AN69" s="3">
        <v>2</v>
      </c>
      <c r="AO69" s="3">
        <v>40</v>
      </c>
      <c r="AP69" s="3">
        <v>70</v>
      </c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6">
        <v>24</v>
      </c>
      <c r="BF69" s="6">
        <v>49</v>
      </c>
      <c r="BG69" s="6">
        <v>113</v>
      </c>
    </row>
    <row r="70" spans="1:59" ht="15.75" x14ac:dyDescent="0.25">
      <c r="A70" s="3">
        <v>67</v>
      </c>
      <c r="B70" s="3" t="s">
        <v>293</v>
      </c>
      <c r="C70" s="3" t="s">
        <v>293</v>
      </c>
      <c r="D70" s="3" t="s">
        <v>293</v>
      </c>
      <c r="E70" s="3" t="s">
        <v>293</v>
      </c>
      <c r="F70" s="3" t="s">
        <v>293</v>
      </c>
      <c r="G70" s="3" t="s">
        <v>294</v>
      </c>
      <c r="H70" s="3" t="s">
        <v>293</v>
      </c>
      <c r="I70" s="3"/>
      <c r="J70" s="4" t="s">
        <v>1188</v>
      </c>
      <c r="K70" s="3"/>
      <c r="L70" s="3"/>
      <c r="M70" s="3"/>
      <c r="N70" s="3"/>
      <c r="O70" s="3"/>
      <c r="P70" s="3"/>
      <c r="Q70" s="3"/>
      <c r="R70" s="3"/>
      <c r="S70" s="3"/>
      <c r="T70" s="3"/>
      <c r="U70" s="3" t="b">
        <v>0</v>
      </c>
      <c r="V70" s="3"/>
      <c r="W70" s="3" t="str">
        <f t="shared" si="3"/>
        <v/>
      </c>
      <c r="X70" s="3"/>
      <c r="Y70" s="3"/>
      <c r="Z70" s="3"/>
      <c r="AA70" s="3" t="s">
        <v>1329</v>
      </c>
      <c r="AB70" s="3" t="s">
        <v>1183</v>
      </c>
      <c r="AC70" s="3" t="s">
        <v>1183</v>
      </c>
      <c r="AD70" s="3" t="s">
        <v>1183</v>
      </c>
      <c r="AE70" s="3" t="s">
        <v>1183</v>
      </c>
      <c r="AF70" s="5"/>
      <c r="AG70" s="3" t="s">
        <v>1183</v>
      </c>
      <c r="AH70" s="3" t="s">
        <v>1183</v>
      </c>
      <c r="AI70" s="3" t="s">
        <v>1183</v>
      </c>
      <c r="AJ70" s="3" t="s">
        <v>1183</v>
      </c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6"/>
      <c r="BF70" s="6"/>
      <c r="BG70" s="6"/>
    </row>
    <row r="71" spans="1:59" ht="15.75" x14ac:dyDescent="0.25">
      <c r="A71" s="3">
        <v>68</v>
      </c>
      <c r="B71" s="3" t="s">
        <v>1033</v>
      </c>
      <c r="C71" s="3" t="s">
        <v>522</v>
      </c>
      <c r="D71" s="3" t="s">
        <v>1330</v>
      </c>
      <c r="E71" s="3" t="s">
        <v>1034</v>
      </c>
      <c r="F71" s="3" t="s">
        <v>1331</v>
      </c>
      <c r="G71" s="3" t="s">
        <v>1035</v>
      </c>
      <c r="H71" s="3" t="s">
        <v>1036</v>
      </c>
      <c r="I71" s="3"/>
      <c r="J71" s="4" t="b">
        <v>0</v>
      </c>
      <c r="K71" s="3">
        <f t="shared" si="4"/>
        <v>10</v>
      </c>
      <c r="L71" s="3"/>
      <c r="M71" s="3"/>
      <c r="N71" s="3" t="b">
        <v>0</v>
      </c>
      <c r="O71" s="3"/>
      <c r="P71" s="3">
        <v>10</v>
      </c>
      <c r="Q71" s="3"/>
      <c r="R71" s="3" t="s">
        <v>1181</v>
      </c>
      <c r="S71" s="3" t="s">
        <v>1037</v>
      </c>
      <c r="T71" s="3" t="s">
        <v>26</v>
      </c>
      <c r="U71" s="3" t="b">
        <v>0</v>
      </c>
      <c r="V71" s="3">
        <v>0.69999998807907104</v>
      </c>
      <c r="W71" s="3" t="e">
        <f t="shared" si="3"/>
        <v>#VALUE!</v>
      </c>
      <c r="X71" s="3">
        <v>9</v>
      </c>
      <c r="Y71" s="3">
        <v>0.79000002145767201</v>
      </c>
      <c r="Z71" s="3"/>
      <c r="AA71" s="3" t="str">
        <f t="shared" si="5"/>
        <v>Species</v>
      </c>
      <c r="AB71" s="3">
        <v>10</v>
      </c>
      <c r="AC71" s="3">
        <v>23</v>
      </c>
      <c r="AD71" s="3" t="s">
        <v>1182</v>
      </c>
      <c r="AE71" s="3">
        <v>10</v>
      </c>
      <c r="AF71" s="5">
        <v>10</v>
      </c>
      <c r="AG71" s="3" t="s">
        <v>1183</v>
      </c>
      <c r="AH71" s="3" t="s">
        <v>1183</v>
      </c>
      <c r="AI71" s="3" t="s">
        <v>1183</v>
      </c>
      <c r="AJ71" s="3" t="s">
        <v>1183</v>
      </c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6">
        <v>6</v>
      </c>
      <c r="BF71" s="6">
        <v>3</v>
      </c>
      <c r="BG71" s="6">
        <v>6</v>
      </c>
    </row>
    <row r="72" spans="1:59" ht="15.75" x14ac:dyDescent="0.25">
      <c r="A72" s="3">
        <v>69</v>
      </c>
      <c r="B72" s="3" t="s">
        <v>296</v>
      </c>
      <c r="C72" s="3" t="s">
        <v>297</v>
      </c>
      <c r="D72" s="3" t="s">
        <v>1332</v>
      </c>
      <c r="E72" s="3" t="s">
        <v>298</v>
      </c>
      <c r="F72" s="3" t="s">
        <v>1333</v>
      </c>
      <c r="G72" s="3" t="s">
        <v>299</v>
      </c>
      <c r="H72" s="3" t="s">
        <v>300</v>
      </c>
      <c r="I72" s="3"/>
      <c r="J72" s="4" t="b">
        <v>1</v>
      </c>
      <c r="K72" s="3">
        <f t="shared" si="4"/>
        <v>15</v>
      </c>
      <c r="L72" s="3"/>
      <c r="M72" s="3"/>
      <c r="N72" s="3" t="b">
        <v>0</v>
      </c>
      <c r="O72" s="3"/>
      <c r="P72" s="3">
        <v>15</v>
      </c>
      <c r="Q72" s="3"/>
      <c r="R72" s="3" t="s">
        <v>1181</v>
      </c>
      <c r="S72" s="3" t="s">
        <v>248</v>
      </c>
      <c r="T72" s="3" t="s">
        <v>26</v>
      </c>
      <c r="U72" s="3" t="b">
        <v>0</v>
      </c>
      <c r="V72" s="3">
        <v>0.69999998807907104</v>
      </c>
      <c r="W72" s="3" t="e">
        <f t="shared" si="3"/>
        <v>#VALUE!</v>
      </c>
      <c r="X72" s="3">
        <v>9</v>
      </c>
      <c r="Y72" s="3">
        <v>0.79000002145767201</v>
      </c>
      <c r="Z72" s="3"/>
      <c r="AA72" s="3" t="str">
        <f t="shared" si="5"/>
        <v>Species</v>
      </c>
      <c r="AB72" s="3">
        <v>15</v>
      </c>
      <c r="AC72" s="3" t="s">
        <v>1183</v>
      </c>
      <c r="AD72" s="3" t="s">
        <v>1183</v>
      </c>
      <c r="AE72" s="3">
        <v>15</v>
      </c>
      <c r="AF72" s="5">
        <v>15</v>
      </c>
      <c r="AG72" s="3" t="s">
        <v>1334</v>
      </c>
      <c r="AH72" s="3">
        <v>5</v>
      </c>
      <c r="AI72" s="3">
        <v>15</v>
      </c>
      <c r="AJ72" s="3">
        <v>4</v>
      </c>
      <c r="AK72" s="3">
        <v>8</v>
      </c>
      <c r="AL72" s="3"/>
      <c r="AM72" s="3"/>
      <c r="AN72" s="3"/>
      <c r="AO72" s="3"/>
      <c r="AP72" s="3">
        <v>25</v>
      </c>
      <c r="AQ72" s="3"/>
      <c r="AR72" s="3"/>
      <c r="AS72" s="3">
        <v>15</v>
      </c>
      <c r="AT72" s="3"/>
      <c r="AU72" s="3">
        <v>10</v>
      </c>
      <c r="AV72" s="3"/>
      <c r="AW72" s="3"/>
      <c r="AX72" s="3"/>
      <c r="AY72" s="3"/>
      <c r="AZ72" s="3"/>
      <c r="BA72" s="3"/>
      <c r="BB72" s="3"/>
      <c r="BC72" s="3"/>
      <c r="BD72" s="3"/>
      <c r="BE72" s="6">
        <v>10.08</v>
      </c>
      <c r="BF72" s="6">
        <v>37</v>
      </c>
      <c r="BG72" s="6">
        <v>47</v>
      </c>
    </row>
    <row r="73" spans="1:59" ht="15.75" x14ac:dyDescent="0.25">
      <c r="A73" s="3">
        <v>70</v>
      </c>
      <c r="B73" s="3" t="s">
        <v>304</v>
      </c>
      <c r="C73" s="3" t="s">
        <v>297</v>
      </c>
      <c r="D73" s="3" t="s">
        <v>1332</v>
      </c>
      <c r="E73" s="3" t="s">
        <v>298</v>
      </c>
      <c r="F73" s="3" t="s">
        <v>1335</v>
      </c>
      <c r="G73" s="3" t="s">
        <v>305</v>
      </c>
      <c r="H73" s="3" t="s">
        <v>306</v>
      </c>
      <c r="I73" s="3"/>
      <c r="J73" s="4" t="b">
        <v>0</v>
      </c>
      <c r="K73" s="3" t="str">
        <f t="shared" si="4"/>
        <v/>
      </c>
      <c r="L73" s="3"/>
      <c r="M73" s="3"/>
      <c r="N73" s="3" t="b">
        <v>0</v>
      </c>
      <c r="O73" s="3"/>
      <c r="P73" s="3">
        <v>40</v>
      </c>
      <c r="Q73" s="3"/>
      <c r="R73" s="3" t="s">
        <v>1181</v>
      </c>
      <c r="S73" s="3" t="s">
        <v>307</v>
      </c>
      <c r="T73" s="3" t="s">
        <v>26</v>
      </c>
      <c r="U73" s="3" t="b">
        <v>0</v>
      </c>
      <c r="V73" s="3">
        <v>0.69999998807907104</v>
      </c>
      <c r="W73" s="3" t="e">
        <f t="shared" si="3"/>
        <v>#VALUE!</v>
      </c>
      <c r="X73" s="3">
        <v>9</v>
      </c>
      <c r="Y73" s="3">
        <v>0.79000002145767201</v>
      </c>
      <c r="Z73" s="3"/>
      <c r="AA73" s="3" t="str">
        <f t="shared" si="5"/>
        <v>Species</v>
      </c>
      <c r="AB73" s="3" t="s">
        <v>1183</v>
      </c>
      <c r="AC73" s="3" t="s">
        <v>1183</v>
      </c>
      <c r="AD73" s="3" t="s">
        <v>1183</v>
      </c>
      <c r="AE73" s="3" t="s">
        <v>1183</v>
      </c>
      <c r="AF73" s="5" t="s">
        <v>1183</v>
      </c>
      <c r="AG73" s="3" t="s">
        <v>1183</v>
      </c>
      <c r="AH73" s="3" t="s">
        <v>1183</v>
      </c>
      <c r="AI73" s="3" t="s">
        <v>1183</v>
      </c>
      <c r="AJ73" s="3" t="s">
        <v>1183</v>
      </c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6">
        <v>5</v>
      </c>
      <c r="BF73" s="6">
        <v>1</v>
      </c>
      <c r="BG73" s="6">
        <v>5</v>
      </c>
    </row>
    <row r="74" spans="1:59" ht="15.75" x14ac:dyDescent="0.25">
      <c r="A74" s="3">
        <v>289</v>
      </c>
      <c r="B74" s="3" t="s">
        <v>308</v>
      </c>
      <c r="C74" s="3" t="s">
        <v>297</v>
      </c>
      <c r="D74" s="3" t="s">
        <v>1332</v>
      </c>
      <c r="E74" s="3" t="s">
        <v>298</v>
      </c>
      <c r="F74" s="3" t="s">
        <v>1698</v>
      </c>
      <c r="G74" s="3" t="s">
        <v>309</v>
      </c>
      <c r="H74" s="3" t="s">
        <v>310</v>
      </c>
      <c r="I74" s="3"/>
      <c r="J74" s="4" t="b">
        <v>0</v>
      </c>
      <c r="K74" s="3" t="str">
        <f t="shared" si="4"/>
        <v/>
      </c>
      <c r="L74" s="3"/>
      <c r="M74" s="3"/>
      <c r="N74" s="3" t="b">
        <v>0</v>
      </c>
      <c r="O74" s="3"/>
      <c r="P74" s="3"/>
      <c r="Q74" s="3"/>
      <c r="R74" s="3" t="s">
        <v>1181</v>
      </c>
      <c r="S74" s="3"/>
      <c r="T74" s="3" t="s">
        <v>26</v>
      </c>
      <c r="U74" s="3" t="b">
        <v>0</v>
      </c>
      <c r="V74" s="3"/>
      <c r="W74" s="3" t="str">
        <f t="shared" si="3"/>
        <v/>
      </c>
      <c r="X74" s="3"/>
      <c r="Y74" s="3"/>
      <c r="Z74" s="3"/>
      <c r="AA74" s="3" t="str">
        <f t="shared" si="5"/>
        <v>Species</v>
      </c>
      <c r="AB74" s="3"/>
      <c r="AC74" s="3"/>
      <c r="AD74" s="3"/>
      <c r="AE74" s="3"/>
      <c r="AF74" s="5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6" t="e">
        <v>#NUM!</v>
      </c>
      <c r="BF74" s="6">
        <v>0</v>
      </c>
      <c r="BG74" s="6" t="e">
        <v>#NUM!</v>
      </c>
    </row>
    <row r="75" spans="1:59" ht="15.75" x14ac:dyDescent="0.25">
      <c r="A75" s="3">
        <v>71</v>
      </c>
      <c r="B75" s="3" t="s">
        <v>301</v>
      </c>
      <c r="C75" s="3" t="s">
        <v>297</v>
      </c>
      <c r="D75" s="3" t="s">
        <v>1332</v>
      </c>
      <c r="E75" s="3" t="s">
        <v>298</v>
      </c>
      <c r="F75" s="3" t="s">
        <v>1336</v>
      </c>
      <c r="G75" s="3" t="s">
        <v>302</v>
      </c>
      <c r="H75" s="3" t="s">
        <v>303</v>
      </c>
      <c r="I75" s="3"/>
      <c r="J75" s="4" t="b">
        <v>0</v>
      </c>
      <c r="K75" s="3">
        <f t="shared" si="4"/>
        <v>20</v>
      </c>
      <c r="L75" s="3"/>
      <c r="M75" s="3"/>
      <c r="N75" s="3" t="b">
        <v>0</v>
      </c>
      <c r="O75" s="3"/>
      <c r="P75" s="3">
        <v>30</v>
      </c>
      <c r="Q75" s="3"/>
      <c r="R75" s="3" t="s">
        <v>1181</v>
      </c>
      <c r="S75" s="3" t="s">
        <v>54</v>
      </c>
      <c r="T75" s="3" t="s">
        <v>26</v>
      </c>
      <c r="U75" s="3" t="b">
        <v>0</v>
      </c>
      <c r="V75" s="3">
        <v>0.72000002861022905</v>
      </c>
      <c r="W75" s="3" t="e">
        <f t="shared" si="3"/>
        <v>#VALUE!</v>
      </c>
      <c r="X75" s="3">
        <v>9</v>
      </c>
      <c r="Y75" s="3">
        <v>0.79000002145767201</v>
      </c>
      <c r="Z75" s="3"/>
      <c r="AA75" s="3" t="str">
        <f t="shared" si="5"/>
        <v>Species</v>
      </c>
      <c r="AB75" s="3" t="s">
        <v>1183</v>
      </c>
      <c r="AC75" s="3" t="s">
        <v>1183</v>
      </c>
      <c r="AD75" s="3" t="s">
        <v>1183</v>
      </c>
      <c r="AE75" s="3" t="s">
        <v>1183</v>
      </c>
      <c r="AF75" s="5">
        <v>20</v>
      </c>
      <c r="AG75" s="3" t="s">
        <v>1337</v>
      </c>
      <c r="AH75" s="3">
        <v>10</v>
      </c>
      <c r="AI75" s="3">
        <v>20</v>
      </c>
      <c r="AJ75" s="3">
        <v>4</v>
      </c>
      <c r="AK75" s="3">
        <v>10</v>
      </c>
      <c r="AL75" s="3"/>
      <c r="AM75" s="3">
        <v>1</v>
      </c>
      <c r="AN75" s="3">
        <v>1.5</v>
      </c>
      <c r="AO75" s="3">
        <v>10</v>
      </c>
      <c r="AP75" s="3">
        <v>40</v>
      </c>
      <c r="AQ75" s="3"/>
      <c r="AR75" s="3"/>
      <c r="AS75" s="3">
        <v>20</v>
      </c>
      <c r="AT75" s="3"/>
      <c r="AU75" s="3">
        <v>10</v>
      </c>
      <c r="AV75" s="3"/>
      <c r="AW75" s="3"/>
      <c r="AX75" s="3"/>
      <c r="AY75" s="3"/>
      <c r="AZ75" s="3"/>
      <c r="BA75" s="3"/>
      <c r="BB75" s="3"/>
      <c r="BC75" s="3"/>
      <c r="BD75" s="3"/>
      <c r="BE75" s="6">
        <v>7</v>
      </c>
      <c r="BF75" s="6">
        <v>14</v>
      </c>
      <c r="BG75" s="6">
        <v>11</v>
      </c>
    </row>
    <row r="76" spans="1:59" ht="15.75" x14ac:dyDescent="0.25">
      <c r="A76" s="3">
        <v>72</v>
      </c>
      <c r="B76" s="3" t="s">
        <v>311</v>
      </c>
      <c r="C76" s="3" t="s">
        <v>297</v>
      </c>
      <c r="D76" s="3" t="s">
        <v>1332</v>
      </c>
      <c r="E76" s="3" t="s">
        <v>298</v>
      </c>
      <c r="F76" s="3" t="s">
        <v>1338</v>
      </c>
      <c r="G76" s="3" t="s">
        <v>312</v>
      </c>
      <c r="H76" s="3" t="s">
        <v>313</v>
      </c>
      <c r="I76" s="3"/>
      <c r="J76" s="4" t="b">
        <v>1</v>
      </c>
      <c r="K76" s="3" t="str">
        <f t="shared" si="4"/>
        <v/>
      </c>
      <c r="L76" s="3"/>
      <c r="M76" s="3"/>
      <c r="N76" s="3" t="b">
        <v>0</v>
      </c>
      <c r="O76" s="3"/>
      <c r="P76" s="3">
        <v>40</v>
      </c>
      <c r="Q76" s="3"/>
      <c r="R76" s="3" t="s">
        <v>1181</v>
      </c>
      <c r="S76" s="3" t="s">
        <v>54</v>
      </c>
      <c r="T76" s="3" t="s">
        <v>26</v>
      </c>
      <c r="U76" s="3" t="b">
        <v>0</v>
      </c>
      <c r="V76" s="3">
        <v>0.69999998807907104</v>
      </c>
      <c r="W76" s="3" t="e">
        <f t="shared" si="3"/>
        <v>#VALUE!</v>
      </c>
      <c r="X76" s="3">
        <v>9</v>
      </c>
      <c r="Y76" s="3">
        <v>0.79000002145767201</v>
      </c>
      <c r="Z76" s="3"/>
      <c r="AA76" s="3" t="str">
        <f t="shared" si="5"/>
        <v>Species</v>
      </c>
      <c r="AB76" s="3" t="s">
        <v>1183</v>
      </c>
      <c r="AC76" s="3" t="s">
        <v>1183</v>
      </c>
      <c r="AD76" s="3" t="s">
        <v>1183</v>
      </c>
      <c r="AE76" s="3" t="s">
        <v>1183</v>
      </c>
      <c r="AF76" s="5" t="s">
        <v>1183</v>
      </c>
      <c r="AG76" s="3" t="s">
        <v>1183</v>
      </c>
      <c r="AH76" s="3" t="s">
        <v>1183</v>
      </c>
      <c r="AI76" s="3" t="s">
        <v>1183</v>
      </c>
      <c r="AJ76" s="3" t="s">
        <v>1183</v>
      </c>
      <c r="AK76" s="3"/>
      <c r="AL76" s="3"/>
      <c r="AM76" s="3"/>
      <c r="AN76" s="3"/>
      <c r="AO76" s="3"/>
      <c r="AP76" s="3">
        <v>10</v>
      </c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6">
        <v>4.3799999952316284</v>
      </c>
      <c r="BF76" s="6">
        <v>2</v>
      </c>
      <c r="BG76" s="6">
        <v>4.5</v>
      </c>
    </row>
    <row r="77" spans="1:59" ht="15.75" x14ac:dyDescent="0.25">
      <c r="A77" s="3">
        <v>313</v>
      </c>
      <c r="B77" s="3" t="s">
        <v>317</v>
      </c>
      <c r="C77" s="3" t="s">
        <v>297</v>
      </c>
      <c r="D77" s="3" t="s">
        <v>1332</v>
      </c>
      <c r="E77" s="3" t="s">
        <v>298</v>
      </c>
      <c r="F77" s="3" t="s">
        <v>1712</v>
      </c>
      <c r="G77" s="3" t="s">
        <v>318</v>
      </c>
      <c r="H77" s="3" t="s">
        <v>319</v>
      </c>
      <c r="I77" s="3" t="s">
        <v>1339</v>
      </c>
      <c r="J77" s="4" t="b">
        <v>1</v>
      </c>
      <c r="K77" s="3">
        <f t="shared" si="4"/>
        <v>5</v>
      </c>
      <c r="L77" s="3"/>
      <c r="M77" s="3"/>
      <c r="N77" s="3" t="b">
        <v>0</v>
      </c>
      <c r="O77" s="3"/>
      <c r="P77" s="3"/>
      <c r="Q77" s="3"/>
      <c r="R77" s="3" t="s">
        <v>1181</v>
      </c>
      <c r="S77" s="3" t="s">
        <v>54</v>
      </c>
      <c r="T77" s="3" t="s">
        <v>26</v>
      </c>
      <c r="U77" s="3" t="b">
        <v>0</v>
      </c>
      <c r="V77" s="3"/>
      <c r="W77" s="3" t="e">
        <f t="shared" si="3"/>
        <v>#VALUE!</v>
      </c>
      <c r="X77" s="3"/>
      <c r="Y77" s="3"/>
      <c r="Z77" s="3"/>
      <c r="AA77" s="3" t="str">
        <f t="shared" si="5"/>
        <v>Species</v>
      </c>
      <c r="AB77" s="3" t="s">
        <v>1183</v>
      </c>
      <c r="AC77" s="3" t="s">
        <v>1183</v>
      </c>
      <c r="AD77" s="3" t="s">
        <v>1183</v>
      </c>
      <c r="AE77" s="3" t="s">
        <v>1183</v>
      </c>
      <c r="AF77" s="5">
        <v>5</v>
      </c>
      <c r="AG77" s="3" t="s">
        <v>1183</v>
      </c>
      <c r="AH77" s="3" t="s">
        <v>1183</v>
      </c>
      <c r="AI77" s="3" t="s">
        <v>1183</v>
      </c>
      <c r="AJ77" s="3" t="s">
        <v>1183</v>
      </c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6">
        <v>7.7999999999999989</v>
      </c>
      <c r="BF77" s="6">
        <v>3</v>
      </c>
      <c r="BG77" s="6">
        <v>9</v>
      </c>
    </row>
    <row r="78" spans="1:59" ht="15.75" x14ac:dyDescent="0.25">
      <c r="A78" s="3">
        <v>73</v>
      </c>
      <c r="B78" s="3" t="s">
        <v>314</v>
      </c>
      <c r="C78" s="3" t="s">
        <v>297</v>
      </c>
      <c r="D78" s="3" t="s">
        <v>1332</v>
      </c>
      <c r="E78" s="3" t="s">
        <v>298</v>
      </c>
      <c r="F78" s="3" t="s">
        <v>1340</v>
      </c>
      <c r="G78" s="3" t="s">
        <v>315</v>
      </c>
      <c r="H78" s="3" t="s">
        <v>1341</v>
      </c>
      <c r="I78" s="3"/>
      <c r="J78" s="4" t="s">
        <v>1188</v>
      </c>
      <c r="K78" s="3" t="str">
        <f t="shared" si="4"/>
        <v/>
      </c>
      <c r="L78" s="3"/>
      <c r="M78" s="3"/>
      <c r="N78" s="3" t="b">
        <v>0</v>
      </c>
      <c r="O78" s="3"/>
      <c r="P78" s="3">
        <v>40</v>
      </c>
      <c r="Q78" s="3"/>
      <c r="R78" s="3" t="s">
        <v>1181</v>
      </c>
      <c r="S78" s="3"/>
      <c r="T78" s="3" t="s">
        <v>26</v>
      </c>
      <c r="U78" s="3"/>
      <c r="V78" s="3"/>
      <c r="W78" s="3" t="str">
        <f t="shared" si="3"/>
        <v/>
      </c>
      <c r="X78" s="3">
        <v>9</v>
      </c>
      <c r="Y78" s="3">
        <v>0.79000002145767201</v>
      </c>
      <c r="Z78" s="3"/>
      <c r="AA78" s="3" t="str">
        <f t="shared" si="5"/>
        <v>Genus</v>
      </c>
      <c r="AB78" s="3" t="s">
        <v>1183</v>
      </c>
      <c r="AC78" s="3" t="s">
        <v>1183</v>
      </c>
      <c r="AD78" s="3" t="s">
        <v>1183</v>
      </c>
      <c r="AE78" s="3" t="s">
        <v>1183</v>
      </c>
      <c r="AF78" s="5"/>
      <c r="AG78" s="3" t="s">
        <v>1183</v>
      </c>
      <c r="AH78" s="3" t="s">
        <v>1183</v>
      </c>
      <c r="AI78" s="3" t="s">
        <v>1183</v>
      </c>
      <c r="AJ78" s="3" t="s">
        <v>1183</v>
      </c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6">
        <v>11.219999999999997</v>
      </c>
      <c r="BF78" s="6">
        <v>57</v>
      </c>
      <c r="BG78" s="6">
        <v>29</v>
      </c>
    </row>
    <row r="79" spans="1:59" ht="15.75" x14ac:dyDescent="0.25">
      <c r="A79" s="3">
        <v>75</v>
      </c>
      <c r="B79" s="3" t="s">
        <v>921</v>
      </c>
      <c r="C79" s="3" t="s">
        <v>922</v>
      </c>
      <c r="D79" s="3" t="s">
        <v>1342</v>
      </c>
      <c r="E79" s="3" t="s">
        <v>923</v>
      </c>
      <c r="F79" s="3" t="s">
        <v>1343</v>
      </c>
      <c r="G79" s="3" t="s">
        <v>924</v>
      </c>
      <c r="H79" s="3" t="s">
        <v>923</v>
      </c>
      <c r="I79" s="3"/>
      <c r="J79" s="4" t="s">
        <v>1188</v>
      </c>
      <c r="K79" s="3" t="str">
        <f t="shared" si="4"/>
        <v/>
      </c>
      <c r="L79" s="3"/>
      <c r="M79" s="3"/>
      <c r="N79" s="3" t="b">
        <v>1</v>
      </c>
      <c r="O79" s="3"/>
      <c r="P79" s="3">
        <v>60</v>
      </c>
      <c r="Q79" s="3"/>
      <c r="R79" s="3" t="s">
        <v>1181</v>
      </c>
      <c r="S79" s="3"/>
      <c r="T79" s="3" t="s">
        <v>26</v>
      </c>
      <c r="U79" s="3"/>
      <c r="V79" s="3"/>
      <c r="W79" s="3" t="str">
        <f t="shared" si="3"/>
        <v/>
      </c>
      <c r="X79" s="3">
        <v>9</v>
      </c>
      <c r="Y79" s="3">
        <v>0.69999998807907104</v>
      </c>
      <c r="Z79" s="3"/>
      <c r="AA79" s="3" t="str">
        <f t="shared" si="5"/>
        <v>Genus</v>
      </c>
      <c r="AB79" s="3" t="s">
        <v>1183</v>
      </c>
      <c r="AC79" s="3" t="s">
        <v>1183</v>
      </c>
      <c r="AD79" s="3" t="s">
        <v>1183</v>
      </c>
      <c r="AE79" s="3" t="s">
        <v>1183</v>
      </c>
      <c r="AF79" s="5"/>
      <c r="AG79" s="3" t="s">
        <v>1183</v>
      </c>
      <c r="AH79" s="3" t="s">
        <v>1183</v>
      </c>
      <c r="AI79" s="3" t="s">
        <v>1183</v>
      </c>
      <c r="AJ79" s="3" t="s">
        <v>1183</v>
      </c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6">
        <v>18.8</v>
      </c>
      <c r="BF79" s="6">
        <v>17</v>
      </c>
      <c r="BG79" s="6">
        <v>28</v>
      </c>
    </row>
    <row r="80" spans="1:59" ht="15.75" x14ac:dyDescent="0.25">
      <c r="A80" s="3">
        <v>76</v>
      </c>
      <c r="B80" s="3" t="s">
        <v>325</v>
      </c>
      <c r="C80" s="3" t="s">
        <v>326</v>
      </c>
      <c r="D80" s="3" t="s">
        <v>1344</v>
      </c>
      <c r="E80" s="3" t="s">
        <v>327</v>
      </c>
      <c r="F80" s="3" t="s">
        <v>1345</v>
      </c>
      <c r="G80" s="3" t="s">
        <v>328</v>
      </c>
      <c r="H80" s="3" t="s">
        <v>329</v>
      </c>
      <c r="I80" s="3"/>
      <c r="J80" s="4" t="b">
        <v>1</v>
      </c>
      <c r="K80" s="3">
        <f t="shared" si="4"/>
        <v>100</v>
      </c>
      <c r="L80" s="3"/>
      <c r="M80" s="3"/>
      <c r="N80" s="3" t="b">
        <v>1</v>
      </c>
      <c r="O80" s="3"/>
      <c r="P80" s="3">
        <v>97.800003051757798</v>
      </c>
      <c r="Q80" s="3" t="s">
        <v>1213</v>
      </c>
      <c r="R80" s="3" t="s">
        <v>1181</v>
      </c>
      <c r="S80" s="3" t="s">
        <v>99</v>
      </c>
      <c r="T80" s="3" t="s">
        <v>26</v>
      </c>
      <c r="U80" s="3" t="b">
        <v>0</v>
      </c>
      <c r="V80" s="3">
        <v>0.58999997377395597</v>
      </c>
      <c r="W80" s="3" t="e">
        <f t="shared" si="3"/>
        <v>#VALUE!</v>
      </c>
      <c r="X80" s="3">
        <v>9</v>
      </c>
      <c r="Y80" s="3">
        <v>0.87000000476837203</v>
      </c>
      <c r="Z80" s="3"/>
      <c r="AA80" s="3" t="str">
        <f t="shared" si="5"/>
        <v>Species</v>
      </c>
      <c r="AB80" s="3">
        <v>175</v>
      </c>
      <c r="AC80" s="3" t="s">
        <v>1183</v>
      </c>
      <c r="AD80" s="3" t="s">
        <v>1183</v>
      </c>
      <c r="AE80" s="3">
        <v>175</v>
      </c>
      <c r="AF80" s="5">
        <v>100</v>
      </c>
      <c r="AG80" s="3" t="s">
        <v>1346</v>
      </c>
      <c r="AH80" s="3">
        <v>60</v>
      </c>
      <c r="AI80" s="3">
        <v>80</v>
      </c>
      <c r="AJ80" s="3">
        <v>18</v>
      </c>
      <c r="AK80" s="3">
        <v>24</v>
      </c>
      <c r="AL80" s="3"/>
      <c r="AM80" s="3">
        <v>2</v>
      </c>
      <c r="AN80" s="3">
        <v>5</v>
      </c>
      <c r="AO80" s="3">
        <v>80</v>
      </c>
      <c r="AP80" s="3">
        <v>100</v>
      </c>
      <c r="AQ80" s="3"/>
      <c r="AR80" s="3"/>
      <c r="AS80" s="3">
        <v>175</v>
      </c>
      <c r="AT80" s="3"/>
      <c r="AU80" s="3">
        <v>35</v>
      </c>
      <c r="AV80" s="3"/>
      <c r="AW80" s="3"/>
      <c r="AX80" s="3"/>
      <c r="AY80" s="3"/>
      <c r="AZ80" s="3"/>
      <c r="BA80" s="3"/>
      <c r="BB80" s="3"/>
      <c r="BC80" s="3"/>
      <c r="BD80" s="3"/>
      <c r="BE80" s="6">
        <v>63</v>
      </c>
      <c r="BF80" s="6">
        <v>2376</v>
      </c>
      <c r="BG80" s="6">
        <v>174</v>
      </c>
    </row>
    <row r="81" spans="1:59" ht="15.75" x14ac:dyDescent="0.25">
      <c r="A81" s="3">
        <v>77</v>
      </c>
      <c r="B81" s="3" t="s">
        <v>363</v>
      </c>
      <c r="C81" s="3" t="s">
        <v>326</v>
      </c>
      <c r="D81" s="3" t="s">
        <v>1344</v>
      </c>
      <c r="E81" s="3" t="s">
        <v>327</v>
      </c>
      <c r="F81" s="3" t="s">
        <v>1347</v>
      </c>
      <c r="G81" s="3" t="s">
        <v>364</v>
      </c>
      <c r="H81" s="3" t="s">
        <v>365</v>
      </c>
      <c r="I81" s="3" t="s">
        <v>1348</v>
      </c>
      <c r="J81" s="4" t="b">
        <v>0</v>
      </c>
      <c r="K81" s="3" t="str">
        <f t="shared" si="4"/>
        <v/>
      </c>
      <c r="L81" s="3"/>
      <c r="M81" s="3"/>
      <c r="N81" s="3" t="b">
        <v>0</v>
      </c>
      <c r="O81" s="3"/>
      <c r="P81" s="3">
        <v>50</v>
      </c>
      <c r="Q81" s="3"/>
      <c r="R81" s="3" t="s">
        <v>1181</v>
      </c>
      <c r="S81" s="3"/>
      <c r="T81" s="3" t="s">
        <v>26</v>
      </c>
      <c r="U81" s="3" t="b">
        <v>0</v>
      </c>
      <c r="V81" s="3">
        <v>0.55000001192092896</v>
      </c>
      <c r="W81" s="3" t="str">
        <f t="shared" si="3"/>
        <v/>
      </c>
      <c r="X81" s="3">
        <v>9</v>
      </c>
      <c r="Y81" s="3">
        <v>0.86000001430511497</v>
      </c>
      <c r="Z81" s="3"/>
      <c r="AA81" s="3" t="str">
        <f t="shared" si="5"/>
        <v>Species</v>
      </c>
      <c r="AB81" s="3" t="s">
        <v>1183</v>
      </c>
      <c r="AC81" s="3" t="s">
        <v>1183</v>
      </c>
      <c r="AD81" s="3" t="s">
        <v>1183</v>
      </c>
      <c r="AE81" s="3" t="s">
        <v>1183</v>
      </c>
      <c r="AF81" s="5" t="s">
        <v>1183</v>
      </c>
      <c r="AG81" s="3" t="s">
        <v>1183</v>
      </c>
      <c r="AH81" s="3" t="s">
        <v>1183</v>
      </c>
      <c r="AI81" s="3" t="s">
        <v>1183</v>
      </c>
      <c r="AJ81" s="3" t="s">
        <v>1183</v>
      </c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6">
        <v>31.299999999999997</v>
      </c>
      <c r="BF81" s="6">
        <v>2</v>
      </c>
      <c r="BG81" s="6">
        <v>34</v>
      </c>
    </row>
    <row r="82" spans="1:59" ht="15.75" x14ac:dyDescent="0.25">
      <c r="A82" s="3">
        <v>314</v>
      </c>
      <c r="B82" s="3" t="s">
        <v>337</v>
      </c>
      <c r="C82" s="3" t="s">
        <v>326</v>
      </c>
      <c r="D82" s="3" t="s">
        <v>1344</v>
      </c>
      <c r="E82" s="3" t="s">
        <v>327</v>
      </c>
      <c r="F82" s="3" t="s">
        <v>1713</v>
      </c>
      <c r="G82" s="3" t="s">
        <v>338</v>
      </c>
      <c r="H82" s="3" t="s">
        <v>339</v>
      </c>
      <c r="I82" s="3"/>
      <c r="J82" s="4" t="b">
        <v>0</v>
      </c>
      <c r="K82" s="3" t="str">
        <f t="shared" si="4"/>
        <v/>
      </c>
      <c r="L82" s="3"/>
      <c r="M82" s="3"/>
      <c r="N82" s="3" t="b">
        <v>0</v>
      </c>
      <c r="O82" s="3"/>
      <c r="P82" s="3"/>
      <c r="Q82" s="3"/>
      <c r="R82" s="3" t="s">
        <v>1181</v>
      </c>
      <c r="S82" s="3" t="s">
        <v>340</v>
      </c>
      <c r="T82" s="3" t="s">
        <v>26</v>
      </c>
      <c r="U82" s="3" t="b">
        <v>0</v>
      </c>
      <c r="V82" s="3">
        <v>0.35</v>
      </c>
      <c r="W82" s="3" t="e">
        <f t="shared" si="3"/>
        <v>#VALUE!</v>
      </c>
      <c r="X82" s="3"/>
      <c r="Y82" s="3"/>
      <c r="Z82" s="3"/>
      <c r="AA82" s="3" t="str">
        <f t="shared" si="5"/>
        <v>Species</v>
      </c>
      <c r="AB82" s="3" t="s">
        <v>1183</v>
      </c>
      <c r="AC82" s="3" t="s">
        <v>1183</v>
      </c>
      <c r="AD82" s="3" t="s">
        <v>1183</v>
      </c>
      <c r="AE82" s="3" t="s">
        <v>1183</v>
      </c>
      <c r="AF82" s="5" t="s">
        <v>1183</v>
      </c>
      <c r="AG82" s="3" t="s">
        <v>1183</v>
      </c>
      <c r="AH82" s="3" t="s">
        <v>1183</v>
      </c>
      <c r="AI82" s="3" t="s">
        <v>1183</v>
      </c>
      <c r="AJ82" s="3" t="s">
        <v>1183</v>
      </c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6">
        <v>4</v>
      </c>
      <c r="BF82" s="6">
        <v>1</v>
      </c>
      <c r="BG82" s="6">
        <v>4</v>
      </c>
    </row>
    <row r="83" spans="1:59" ht="15.75" x14ac:dyDescent="0.25">
      <c r="A83" s="3">
        <v>78</v>
      </c>
      <c r="B83" s="3" t="s">
        <v>360</v>
      </c>
      <c r="C83" s="3" t="s">
        <v>326</v>
      </c>
      <c r="D83" s="3" t="s">
        <v>1344</v>
      </c>
      <c r="E83" s="3" t="s">
        <v>327</v>
      </c>
      <c r="F83" s="3" t="s">
        <v>1349</v>
      </c>
      <c r="G83" s="3" t="s">
        <v>361</v>
      </c>
      <c r="H83" s="3" t="s">
        <v>362</v>
      </c>
      <c r="I83" s="3"/>
      <c r="J83" s="4" t="b">
        <v>0</v>
      </c>
      <c r="K83" s="3">
        <f t="shared" si="4"/>
        <v>150</v>
      </c>
      <c r="L83" s="3"/>
      <c r="M83" s="3"/>
      <c r="N83" s="3" t="b">
        <v>0</v>
      </c>
      <c r="O83" s="3"/>
      <c r="P83" s="3">
        <v>40</v>
      </c>
      <c r="Q83" s="3"/>
      <c r="R83" s="3" t="s">
        <v>1181</v>
      </c>
      <c r="S83" s="3"/>
      <c r="T83" s="3" t="s">
        <v>26</v>
      </c>
      <c r="U83" s="3" t="b">
        <v>0</v>
      </c>
      <c r="V83" s="3">
        <v>0.55000001192092896</v>
      </c>
      <c r="W83" s="3" t="str">
        <f t="shared" si="3"/>
        <v/>
      </c>
      <c r="X83" s="3">
        <v>9</v>
      </c>
      <c r="Y83" s="3">
        <v>0.86000001430511497</v>
      </c>
      <c r="Z83" s="3"/>
      <c r="AA83" s="3" t="str">
        <f t="shared" si="5"/>
        <v>Species</v>
      </c>
      <c r="AB83" s="3" t="s">
        <v>1183</v>
      </c>
      <c r="AC83" s="3">
        <v>150</v>
      </c>
      <c r="AD83" s="3" t="s">
        <v>1194</v>
      </c>
      <c r="AE83" s="3" t="s">
        <v>1183</v>
      </c>
      <c r="AF83" s="5">
        <v>150</v>
      </c>
      <c r="AG83" s="3" t="s">
        <v>1183</v>
      </c>
      <c r="AH83" s="3" t="s">
        <v>1183</v>
      </c>
      <c r="AI83" s="3" t="s">
        <v>1183</v>
      </c>
      <c r="AJ83" s="3" t="s">
        <v>1183</v>
      </c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6">
        <v>93</v>
      </c>
      <c r="BF83" s="6">
        <v>11</v>
      </c>
      <c r="BG83" s="6">
        <v>130</v>
      </c>
    </row>
    <row r="84" spans="1:59" ht="15.75" x14ac:dyDescent="0.25">
      <c r="A84" s="3">
        <v>79</v>
      </c>
      <c r="B84" s="3" t="s">
        <v>341</v>
      </c>
      <c r="C84" s="3" t="s">
        <v>326</v>
      </c>
      <c r="D84" s="3" t="s">
        <v>1344</v>
      </c>
      <c r="E84" s="3" t="s">
        <v>327</v>
      </c>
      <c r="F84" s="3" t="s">
        <v>1350</v>
      </c>
      <c r="G84" s="3" t="s">
        <v>342</v>
      </c>
      <c r="H84" s="3" t="s">
        <v>343</v>
      </c>
      <c r="I84" s="3"/>
      <c r="J84" s="4" t="b">
        <v>0</v>
      </c>
      <c r="K84" s="3">
        <f t="shared" si="4"/>
        <v>90</v>
      </c>
      <c r="L84" s="3"/>
      <c r="M84" s="3"/>
      <c r="N84" s="3" t="b">
        <v>0</v>
      </c>
      <c r="O84" s="3"/>
      <c r="P84" s="3">
        <v>40</v>
      </c>
      <c r="Q84" s="3"/>
      <c r="R84" s="3" t="s">
        <v>1181</v>
      </c>
      <c r="S84" s="3" t="s">
        <v>344</v>
      </c>
      <c r="T84" s="3" t="s">
        <v>26</v>
      </c>
      <c r="U84" s="3" t="b">
        <v>0</v>
      </c>
      <c r="V84" s="3">
        <v>0.55000001192092896</v>
      </c>
      <c r="W84" s="3" t="e">
        <f t="shared" si="3"/>
        <v>#VALUE!</v>
      </c>
      <c r="X84" s="3">
        <v>9</v>
      </c>
      <c r="Y84" s="3">
        <v>0.86000001430511497</v>
      </c>
      <c r="Z84" s="3"/>
      <c r="AA84" s="3" t="str">
        <f t="shared" si="5"/>
        <v>Species</v>
      </c>
      <c r="AB84" s="3" t="s">
        <v>1183</v>
      </c>
      <c r="AC84" s="3">
        <v>90</v>
      </c>
      <c r="AD84" s="3" t="s">
        <v>1351</v>
      </c>
      <c r="AE84" s="3" t="s">
        <v>1183</v>
      </c>
      <c r="AF84" s="5">
        <v>90</v>
      </c>
      <c r="AG84" s="3" t="s">
        <v>1183</v>
      </c>
      <c r="AH84" s="3" t="s">
        <v>1183</v>
      </c>
      <c r="AI84" s="3" t="s">
        <v>1183</v>
      </c>
      <c r="AJ84" s="3" t="s">
        <v>1183</v>
      </c>
      <c r="AK84" s="3"/>
      <c r="AL84" s="3"/>
      <c r="AM84" s="3">
        <v>2</v>
      </c>
      <c r="AN84" s="3">
        <v>3</v>
      </c>
      <c r="AO84" s="3">
        <v>80</v>
      </c>
      <c r="AP84" s="3">
        <v>100</v>
      </c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6">
        <v>85.210000000000022</v>
      </c>
      <c r="BF84" s="6">
        <v>48</v>
      </c>
      <c r="BG84" s="6">
        <v>139.1</v>
      </c>
    </row>
    <row r="85" spans="1:59" ht="15.75" x14ac:dyDescent="0.25">
      <c r="A85" s="3">
        <v>80</v>
      </c>
      <c r="B85" s="3" t="s">
        <v>330</v>
      </c>
      <c r="C85" s="3" t="s">
        <v>326</v>
      </c>
      <c r="D85" s="3" t="s">
        <v>1344</v>
      </c>
      <c r="E85" s="3" t="s">
        <v>327</v>
      </c>
      <c r="F85" s="3" t="s">
        <v>1352</v>
      </c>
      <c r="G85" s="3" t="s">
        <v>331</v>
      </c>
      <c r="H85" s="3" t="s">
        <v>332</v>
      </c>
      <c r="I85" s="3" t="s">
        <v>1353</v>
      </c>
      <c r="J85" s="4" t="b">
        <v>0</v>
      </c>
      <c r="K85" s="3">
        <f t="shared" si="4"/>
        <v>120</v>
      </c>
      <c r="L85" s="3"/>
      <c r="M85" s="3"/>
      <c r="N85" s="3" t="b">
        <v>0</v>
      </c>
      <c r="O85" s="3"/>
      <c r="P85" s="3">
        <v>40</v>
      </c>
      <c r="Q85" s="3"/>
      <c r="R85" s="3" t="s">
        <v>1181</v>
      </c>
      <c r="S85" s="3" t="s">
        <v>333</v>
      </c>
      <c r="T85" s="3" t="s">
        <v>26</v>
      </c>
      <c r="U85" s="3" t="b">
        <v>0</v>
      </c>
      <c r="V85" s="3">
        <v>0.55000001192092896</v>
      </c>
      <c r="W85" s="3" t="e">
        <f t="shared" si="3"/>
        <v>#VALUE!</v>
      </c>
      <c r="X85" s="3">
        <v>9</v>
      </c>
      <c r="Y85" s="3">
        <v>0.86000001430511497</v>
      </c>
      <c r="Z85" s="3"/>
      <c r="AA85" s="3" t="str">
        <f t="shared" si="5"/>
        <v>Species</v>
      </c>
      <c r="AB85" s="3" t="s">
        <v>1183</v>
      </c>
      <c r="AC85" s="3">
        <v>120</v>
      </c>
      <c r="AD85" s="3" t="s">
        <v>1194</v>
      </c>
      <c r="AE85" s="3" t="s">
        <v>1183</v>
      </c>
      <c r="AF85" s="5">
        <v>120</v>
      </c>
      <c r="AG85" s="3" t="s">
        <v>1183</v>
      </c>
      <c r="AH85" s="3" t="s">
        <v>1183</v>
      </c>
      <c r="AI85" s="3" t="s">
        <v>1183</v>
      </c>
      <c r="AJ85" s="3" t="s">
        <v>1183</v>
      </c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6">
        <v>78</v>
      </c>
      <c r="BF85" s="6">
        <v>1</v>
      </c>
      <c r="BG85" s="6">
        <v>78</v>
      </c>
    </row>
    <row r="86" spans="1:59" ht="15.75" x14ac:dyDescent="0.25">
      <c r="A86" s="3">
        <v>81</v>
      </c>
      <c r="B86" s="3" t="s">
        <v>356</v>
      </c>
      <c r="C86" s="3" t="s">
        <v>326</v>
      </c>
      <c r="D86" s="3" t="s">
        <v>1344</v>
      </c>
      <c r="E86" s="3" t="s">
        <v>327</v>
      </c>
      <c r="F86" s="3" t="s">
        <v>1354</v>
      </c>
      <c r="G86" s="3" t="s">
        <v>357</v>
      </c>
      <c r="H86" s="3" t="s">
        <v>358</v>
      </c>
      <c r="I86" s="3" t="s">
        <v>1355</v>
      </c>
      <c r="J86" s="4" t="b">
        <v>1</v>
      </c>
      <c r="K86" s="3">
        <f t="shared" si="4"/>
        <v>75</v>
      </c>
      <c r="L86" s="3"/>
      <c r="M86" s="3"/>
      <c r="N86" s="3" t="b">
        <v>0</v>
      </c>
      <c r="O86" s="3"/>
      <c r="P86" s="3">
        <v>41.400001525878899</v>
      </c>
      <c r="Q86" s="3" t="s">
        <v>1356</v>
      </c>
      <c r="R86" s="3" t="s">
        <v>1181</v>
      </c>
      <c r="S86" s="3" t="s">
        <v>359</v>
      </c>
      <c r="T86" s="3" t="s">
        <v>26</v>
      </c>
      <c r="U86" s="3" t="b">
        <v>0</v>
      </c>
      <c r="V86" s="3">
        <v>0.55000001192092896</v>
      </c>
      <c r="W86" s="3" t="e">
        <f t="shared" si="3"/>
        <v>#VALUE!</v>
      </c>
      <c r="X86" s="3">
        <v>9</v>
      </c>
      <c r="Y86" s="3">
        <v>0.86000001430511497</v>
      </c>
      <c r="Z86" s="3"/>
      <c r="AA86" s="3" t="str">
        <f t="shared" si="5"/>
        <v>Species</v>
      </c>
      <c r="AB86" s="3">
        <v>75</v>
      </c>
      <c r="AC86" s="3" t="s">
        <v>1183</v>
      </c>
      <c r="AD86" s="3" t="s">
        <v>1183</v>
      </c>
      <c r="AE86" s="3">
        <v>75</v>
      </c>
      <c r="AF86" s="5">
        <v>75</v>
      </c>
      <c r="AG86" s="3" t="s">
        <v>1357</v>
      </c>
      <c r="AH86" s="3">
        <v>60</v>
      </c>
      <c r="AI86" s="3">
        <v>80</v>
      </c>
      <c r="AJ86" s="3">
        <v>15</v>
      </c>
      <c r="AK86" s="3">
        <v>20</v>
      </c>
      <c r="AL86" s="3"/>
      <c r="AM86" s="3">
        <v>2</v>
      </c>
      <c r="AN86" s="3">
        <v>3</v>
      </c>
      <c r="AO86" s="3">
        <v>60</v>
      </c>
      <c r="AP86" s="3">
        <v>80</v>
      </c>
      <c r="AQ86" s="3"/>
      <c r="AR86" s="3"/>
      <c r="AS86" s="3">
        <v>75</v>
      </c>
      <c r="AT86" s="3"/>
      <c r="AU86" s="3">
        <v>25</v>
      </c>
      <c r="AV86" s="3"/>
      <c r="AW86" s="3"/>
      <c r="AX86" s="3"/>
      <c r="AY86" s="3"/>
      <c r="AZ86" s="3"/>
      <c r="BA86" s="3"/>
      <c r="BB86" s="3"/>
      <c r="BC86" s="3"/>
      <c r="BD86" s="3"/>
      <c r="BE86" s="6">
        <v>53.08</v>
      </c>
      <c r="BF86" s="6">
        <v>52</v>
      </c>
      <c r="BG86" s="6">
        <v>73</v>
      </c>
    </row>
    <row r="87" spans="1:59" ht="15.75" x14ac:dyDescent="0.25">
      <c r="A87" s="3">
        <v>82</v>
      </c>
      <c r="B87" s="3" t="s">
        <v>334</v>
      </c>
      <c r="C87" s="3" t="s">
        <v>326</v>
      </c>
      <c r="D87" s="3" t="s">
        <v>1344</v>
      </c>
      <c r="E87" s="3" t="s">
        <v>327</v>
      </c>
      <c r="F87" s="3" t="s">
        <v>1358</v>
      </c>
      <c r="G87" s="3" t="s">
        <v>335</v>
      </c>
      <c r="H87" s="3" t="s">
        <v>336</v>
      </c>
      <c r="I87" s="3"/>
      <c r="J87" s="4" t="b">
        <v>0</v>
      </c>
      <c r="K87" s="3">
        <f t="shared" si="4"/>
        <v>75</v>
      </c>
      <c r="L87" s="3"/>
      <c r="M87" s="3"/>
      <c r="N87" s="3" t="b">
        <v>0</v>
      </c>
      <c r="O87" s="3"/>
      <c r="P87" s="3">
        <v>40</v>
      </c>
      <c r="Q87" s="3"/>
      <c r="R87" s="3" t="s">
        <v>1181</v>
      </c>
      <c r="S87" s="3" t="s">
        <v>227</v>
      </c>
      <c r="T87" s="3" t="s">
        <v>26</v>
      </c>
      <c r="U87" s="3" t="b">
        <v>0</v>
      </c>
      <c r="V87" s="3">
        <v>0.55000001192092896</v>
      </c>
      <c r="W87" s="3" t="e">
        <f t="shared" si="3"/>
        <v>#VALUE!</v>
      </c>
      <c r="X87" s="3">
        <v>9</v>
      </c>
      <c r="Y87" s="3">
        <v>0.86000001430511497</v>
      </c>
      <c r="Z87" s="3"/>
      <c r="AA87" s="3" t="str">
        <f t="shared" si="5"/>
        <v>Species</v>
      </c>
      <c r="AB87" s="3" t="s">
        <v>1183</v>
      </c>
      <c r="AC87" s="3" t="s">
        <v>1183</v>
      </c>
      <c r="AD87" s="3" t="s">
        <v>1183</v>
      </c>
      <c r="AE87" s="3" t="s">
        <v>1183</v>
      </c>
      <c r="AF87" s="5">
        <v>75</v>
      </c>
      <c r="AG87" s="3" t="s">
        <v>1183</v>
      </c>
      <c r="AH87" s="3" t="s">
        <v>1183</v>
      </c>
      <c r="AI87" s="3" t="s">
        <v>1183</v>
      </c>
      <c r="AJ87" s="3" t="s">
        <v>1183</v>
      </c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6">
        <v>66.75</v>
      </c>
      <c r="BF87" s="6">
        <v>156</v>
      </c>
      <c r="BG87" s="6">
        <v>131</v>
      </c>
    </row>
    <row r="88" spans="1:59" ht="15.75" x14ac:dyDescent="0.25">
      <c r="A88" s="3">
        <v>83</v>
      </c>
      <c r="B88" s="3" t="s">
        <v>345</v>
      </c>
      <c r="C88" s="3" t="s">
        <v>326</v>
      </c>
      <c r="D88" s="3" t="s">
        <v>1344</v>
      </c>
      <c r="E88" s="3" t="s">
        <v>327</v>
      </c>
      <c r="F88" s="3" t="s">
        <v>1359</v>
      </c>
      <c r="G88" s="3" t="s">
        <v>346</v>
      </c>
      <c r="H88" s="3" t="s">
        <v>347</v>
      </c>
      <c r="I88" s="3"/>
      <c r="J88" s="4" t="b">
        <v>0</v>
      </c>
      <c r="K88" s="3">
        <v>80</v>
      </c>
      <c r="L88" s="3"/>
      <c r="M88" s="3"/>
      <c r="N88" s="3" t="b">
        <v>1</v>
      </c>
      <c r="O88" s="3"/>
      <c r="P88" s="3">
        <v>40</v>
      </c>
      <c r="Q88" s="3"/>
      <c r="R88" s="3" t="s">
        <v>1181</v>
      </c>
      <c r="S88" s="3" t="s">
        <v>348</v>
      </c>
      <c r="T88" s="3" t="s">
        <v>26</v>
      </c>
      <c r="U88" s="3" t="b">
        <v>0</v>
      </c>
      <c r="V88" s="3">
        <v>0.38999998569488498</v>
      </c>
      <c r="W88" s="3" t="e">
        <f t="shared" si="3"/>
        <v>#VALUE!</v>
      </c>
      <c r="X88" s="3">
        <v>9</v>
      </c>
      <c r="Y88" s="3">
        <v>0.85000002384185802</v>
      </c>
      <c r="Z88" s="3"/>
      <c r="AA88" s="3" t="str">
        <f t="shared" si="5"/>
        <v>Species</v>
      </c>
      <c r="AB88" s="3" t="s">
        <v>1183</v>
      </c>
      <c r="AC88" s="3" t="s">
        <v>1183</v>
      </c>
      <c r="AD88" s="3" t="s">
        <v>1183</v>
      </c>
      <c r="AE88" s="3" t="s">
        <v>1183</v>
      </c>
      <c r="AF88" s="5">
        <v>70</v>
      </c>
      <c r="AG88" s="3" t="s">
        <v>1183</v>
      </c>
      <c r="AH88" s="3" t="s">
        <v>1183</v>
      </c>
      <c r="AI88" s="3" t="s">
        <v>1183</v>
      </c>
      <c r="AJ88" s="3" t="s">
        <v>1183</v>
      </c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6">
        <v>67.520000000000024</v>
      </c>
      <c r="BF88" s="6">
        <v>1834</v>
      </c>
      <c r="BG88" s="6">
        <v>141</v>
      </c>
    </row>
    <row r="89" spans="1:59" ht="15.75" x14ac:dyDescent="0.25">
      <c r="A89" s="3">
        <v>84</v>
      </c>
      <c r="B89" s="3" t="s">
        <v>349</v>
      </c>
      <c r="C89" s="3" t="s">
        <v>326</v>
      </c>
      <c r="D89" s="3" t="s">
        <v>1344</v>
      </c>
      <c r="E89" s="3" t="s">
        <v>327</v>
      </c>
      <c r="F89" s="3" t="s">
        <v>1360</v>
      </c>
      <c r="G89" s="3" t="s">
        <v>350</v>
      </c>
      <c r="H89" s="3" t="s">
        <v>351</v>
      </c>
      <c r="I89" s="3" t="s">
        <v>1361</v>
      </c>
      <c r="J89" s="4" t="b">
        <v>1</v>
      </c>
      <c r="K89" s="3">
        <f t="shared" si="4"/>
        <v>60</v>
      </c>
      <c r="L89" s="3"/>
      <c r="M89" s="3"/>
      <c r="N89" s="3" t="b">
        <v>0</v>
      </c>
      <c r="O89" s="3"/>
      <c r="P89" s="3">
        <v>63</v>
      </c>
      <c r="Q89" s="3" t="s">
        <v>1362</v>
      </c>
      <c r="R89" s="3" t="s">
        <v>1181</v>
      </c>
      <c r="S89" s="3" t="s">
        <v>352</v>
      </c>
      <c r="T89" s="3" t="s">
        <v>26</v>
      </c>
      <c r="U89" s="3" t="b">
        <v>0</v>
      </c>
      <c r="V89" s="3">
        <v>0.60000002384185802</v>
      </c>
      <c r="W89" s="3" t="e">
        <f t="shared" si="3"/>
        <v>#VALUE!</v>
      </c>
      <c r="X89" s="3">
        <v>9</v>
      </c>
      <c r="Y89" s="3">
        <v>0.86000001430511497</v>
      </c>
      <c r="Z89" s="3"/>
      <c r="AA89" s="3" t="str">
        <f t="shared" si="5"/>
        <v>Species</v>
      </c>
      <c r="AB89" s="3">
        <v>60</v>
      </c>
      <c r="AC89" s="3">
        <v>60</v>
      </c>
      <c r="AD89" s="3" t="s">
        <v>1363</v>
      </c>
      <c r="AE89" s="3">
        <v>60</v>
      </c>
      <c r="AF89" s="5">
        <v>60</v>
      </c>
      <c r="AG89" s="3" t="s">
        <v>1364</v>
      </c>
      <c r="AH89" s="3">
        <v>30</v>
      </c>
      <c r="AI89" s="3">
        <v>50</v>
      </c>
      <c r="AJ89" s="3">
        <v>15</v>
      </c>
      <c r="AK89" s="3">
        <v>22</v>
      </c>
      <c r="AL89" s="3"/>
      <c r="AM89" s="3">
        <v>1</v>
      </c>
      <c r="AN89" s="3">
        <v>2</v>
      </c>
      <c r="AO89" s="3">
        <v>40</v>
      </c>
      <c r="AP89" s="3">
        <v>60</v>
      </c>
      <c r="AQ89" s="3"/>
      <c r="AR89" s="3"/>
      <c r="AS89" s="3">
        <v>60</v>
      </c>
      <c r="AT89" s="3"/>
      <c r="AU89" s="3">
        <v>25</v>
      </c>
      <c r="AV89" s="3"/>
      <c r="AW89" s="3"/>
      <c r="AX89" s="3"/>
      <c r="AY89" s="3"/>
      <c r="AZ89" s="3"/>
      <c r="BA89" s="3"/>
      <c r="BB89" s="3"/>
      <c r="BC89" s="3"/>
      <c r="BD89" s="3"/>
      <c r="BE89" s="6">
        <v>57.199999999999989</v>
      </c>
      <c r="BF89" s="6">
        <v>108</v>
      </c>
      <c r="BG89" s="6">
        <v>100</v>
      </c>
    </row>
    <row r="90" spans="1:59" ht="15.75" x14ac:dyDescent="0.25">
      <c r="A90" s="3">
        <v>85</v>
      </c>
      <c r="B90" s="3" t="s">
        <v>353</v>
      </c>
      <c r="C90" s="3" t="s">
        <v>326</v>
      </c>
      <c r="D90" s="3" t="s">
        <v>1344</v>
      </c>
      <c r="E90" s="3" t="s">
        <v>327</v>
      </c>
      <c r="F90" s="3" t="s">
        <v>1365</v>
      </c>
      <c r="G90" s="3" t="s">
        <v>354</v>
      </c>
      <c r="H90" s="3" t="s">
        <v>1344</v>
      </c>
      <c r="I90" s="3"/>
      <c r="J90" s="4" t="s">
        <v>1188</v>
      </c>
      <c r="K90" s="3" t="str">
        <f t="shared" si="4"/>
        <v/>
      </c>
      <c r="L90" s="3"/>
      <c r="M90" s="3"/>
      <c r="N90" s="3" t="b">
        <v>0</v>
      </c>
      <c r="O90" s="3"/>
      <c r="P90" s="3">
        <v>40</v>
      </c>
      <c r="Q90" s="3"/>
      <c r="R90" s="3" t="s">
        <v>1181</v>
      </c>
      <c r="S90" s="3"/>
      <c r="T90" s="3" t="s">
        <v>26</v>
      </c>
      <c r="U90" s="3"/>
      <c r="V90" s="3"/>
      <c r="W90" s="3" t="str">
        <f t="shared" si="3"/>
        <v/>
      </c>
      <c r="X90" s="3">
        <v>9</v>
      </c>
      <c r="Y90" s="3">
        <v>0.86000001430511497</v>
      </c>
      <c r="Z90" s="3"/>
      <c r="AA90" s="3" t="str">
        <f t="shared" si="5"/>
        <v>Genus</v>
      </c>
      <c r="AB90" s="3" t="s">
        <v>1183</v>
      </c>
      <c r="AC90" s="3" t="s">
        <v>1183</v>
      </c>
      <c r="AD90" s="3" t="s">
        <v>1183</v>
      </c>
      <c r="AE90" s="3" t="s">
        <v>1183</v>
      </c>
      <c r="AF90" s="5"/>
      <c r="AG90" s="3" t="s">
        <v>1183</v>
      </c>
      <c r="AH90" s="3" t="s">
        <v>1183</v>
      </c>
      <c r="AI90" s="3" t="s">
        <v>1183</v>
      </c>
      <c r="AJ90" s="3" t="s">
        <v>1183</v>
      </c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6">
        <v>25.880000000000109</v>
      </c>
      <c r="BF90" s="6">
        <v>2543</v>
      </c>
      <c r="BG90" s="6">
        <v>132</v>
      </c>
    </row>
    <row r="91" spans="1:59" ht="15.75" x14ac:dyDescent="0.25">
      <c r="A91" s="3">
        <v>86</v>
      </c>
      <c r="B91" s="3" t="s">
        <v>961</v>
      </c>
      <c r="C91" s="3" t="s">
        <v>962</v>
      </c>
      <c r="D91" s="3" t="s">
        <v>1366</v>
      </c>
      <c r="E91" s="3" t="s">
        <v>963</v>
      </c>
      <c r="F91" s="3" t="s">
        <v>1367</v>
      </c>
      <c r="G91" s="3" t="s">
        <v>964</v>
      </c>
      <c r="H91" s="3" t="s">
        <v>965</v>
      </c>
      <c r="I91" s="3"/>
      <c r="J91" s="4" t="b">
        <v>0</v>
      </c>
      <c r="K91" s="3" t="str">
        <f t="shared" si="4"/>
        <v/>
      </c>
      <c r="L91" s="3"/>
      <c r="M91" s="3"/>
      <c r="N91" s="3" t="b">
        <v>0</v>
      </c>
      <c r="O91" s="3"/>
      <c r="P91" s="3">
        <v>40</v>
      </c>
      <c r="Q91" s="3"/>
      <c r="R91" s="3" t="s">
        <v>1181</v>
      </c>
      <c r="S91" s="3" t="s">
        <v>65</v>
      </c>
      <c r="T91" s="3" t="s">
        <v>26</v>
      </c>
      <c r="U91" s="3" t="b">
        <v>0</v>
      </c>
      <c r="V91" s="3">
        <v>0.5</v>
      </c>
      <c r="W91" s="3" t="e">
        <f t="shared" si="3"/>
        <v>#VALUE!</v>
      </c>
      <c r="X91" s="3">
        <v>9</v>
      </c>
      <c r="Y91" s="3">
        <v>0.79000002145767201</v>
      </c>
      <c r="Z91" s="3"/>
      <c r="AA91" s="3" t="str">
        <f t="shared" si="5"/>
        <v>Species</v>
      </c>
      <c r="AB91" s="3" t="s">
        <v>1183</v>
      </c>
      <c r="AC91" s="3" t="s">
        <v>1183</v>
      </c>
      <c r="AD91" s="3" t="s">
        <v>1183</v>
      </c>
      <c r="AE91" s="3" t="s">
        <v>1183</v>
      </c>
      <c r="AF91" s="5" t="s">
        <v>1183</v>
      </c>
      <c r="AG91" s="3" t="s">
        <v>1183</v>
      </c>
      <c r="AH91" s="3" t="s">
        <v>1183</v>
      </c>
      <c r="AI91" s="3" t="s">
        <v>1183</v>
      </c>
      <c r="AJ91" s="3" t="s">
        <v>1183</v>
      </c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6">
        <v>13.350000000000001</v>
      </c>
      <c r="BF91" s="6">
        <v>4</v>
      </c>
      <c r="BG91" s="6">
        <v>15</v>
      </c>
    </row>
    <row r="92" spans="1:59" ht="15.75" x14ac:dyDescent="0.25">
      <c r="A92" s="3">
        <v>87</v>
      </c>
      <c r="B92" s="3" t="s">
        <v>966</v>
      </c>
      <c r="C92" s="3" t="s">
        <v>962</v>
      </c>
      <c r="D92" s="3" t="s">
        <v>1366</v>
      </c>
      <c r="E92" s="3" t="s">
        <v>967</v>
      </c>
      <c r="F92" s="3" t="s">
        <v>1368</v>
      </c>
      <c r="G92" s="3" t="s">
        <v>968</v>
      </c>
      <c r="H92" s="3" t="s">
        <v>1369</v>
      </c>
      <c r="I92" s="3"/>
      <c r="J92" s="4" t="s">
        <v>1188</v>
      </c>
      <c r="K92" s="3" t="str">
        <f t="shared" si="4"/>
        <v/>
      </c>
      <c r="L92" s="3"/>
      <c r="M92" s="3"/>
      <c r="N92" s="3" t="b">
        <v>1</v>
      </c>
      <c r="O92" s="3"/>
      <c r="P92" s="3">
        <v>60</v>
      </c>
      <c r="Q92" s="3"/>
      <c r="R92" s="3" t="s">
        <v>1181</v>
      </c>
      <c r="S92" s="3"/>
      <c r="T92" s="3" t="s">
        <v>26</v>
      </c>
      <c r="U92" s="3"/>
      <c r="V92" s="3"/>
      <c r="W92" s="3" t="str">
        <f t="shared" si="3"/>
        <v/>
      </c>
      <c r="X92" s="3">
        <v>9</v>
      </c>
      <c r="Y92" s="3">
        <v>0.69999998807907104</v>
      </c>
      <c r="Z92" s="3"/>
      <c r="AA92" s="3" t="str">
        <f t="shared" si="5"/>
        <v>Genus</v>
      </c>
      <c r="AB92" s="3" t="s">
        <v>1183</v>
      </c>
      <c r="AC92" s="3" t="s">
        <v>1183</v>
      </c>
      <c r="AD92" s="3" t="s">
        <v>1183</v>
      </c>
      <c r="AE92" s="3" t="s">
        <v>1183</v>
      </c>
      <c r="AF92" s="5"/>
      <c r="AG92" s="3" t="s">
        <v>1183</v>
      </c>
      <c r="AH92" s="3" t="s">
        <v>1183</v>
      </c>
      <c r="AI92" s="3" t="s">
        <v>1183</v>
      </c>
      <c r="AJ92" s="3" t="s">
        <v>1183</v>
      </c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6">
        <v>3</v>
      </c>
      <c r="BF92" s="6">
        <v>1</v>
      </c>
      <c r="BG92" s="6">
        <v>3</v>
      </c>
    </row>
    <row r="93" spans="1:59" ht="15.75" x14ac:dyDescent="0.25">
      <c r="A93" s="3">
        <v>88</v>
      </c>
      <c r="B93" s="3" t="s">
        <v>370</v>
      </c>
      <c r="C93" s="3" t="s">
        <v>321</v>
      </c>
      <c r="D93" s="3" t="s">
        <v>1370</v>
      </c>
      <c r="E93" s="3" t="s">
        <v>371</v>
      </c>
      <c r="F93" s="3" t="s">
        <v>1371</v>
      </c>
      <c r="G93" s="3" t="s">
        <v>372</v>
      </c>
      <c r="H93" s="3" t="s">
        <v>373</v>
      </c>
      <c r="I93" s="3"/>
      <c r="J93" s="4" t="b">
        <v>1</v>
      </c>
      <c r="K93" s="3">
        <f t="shared" si="4"/>
        <v>50</v>
      </c>
      <c r="L93" s="3"/>
      <c r="M93" s="3"/>
      <c r="N93" s="3" t="b">
        <v>1</v>
      </c>
      <c r="O93" s="3"/>
      <c r="P93" s="3">
        <v>30</v>
      </c>
      <c r="Q93" s="3" t="s">
        <v>1372</v>
      </c>
      <c r="R93" s="3" t="s">
        <v>1276</v>
      </c>
      <c r="S93" s="3" t="s">
        <v>374</v>
      </c>
      <c r="T93" s="3" t="s">
        <v>26</v>
      </c>
      <c r="U93" s="3" t="b">
        <v>0</v>
      </c>
      <c r="V93" s="3">
        <v>0.479999989271164</v>
      </c>
      <c r="W93" s="3" t="e">
        <f t="shared" si="3"/>
        <v>#VALUE!</v>
      </c>
      <c r="X93" s="3">
        <v>9</v>
      </c>
      <c r="Y93" s="3">
        <v>0.79000002145767201</v>
      </c>
      <c r="Z93" s="3"/>
      <c r="AA93" s="3" t="str">
        <f t="shared" si="5"/>
        <v>Species</v>
      </c>
      <c r="AB93" s="3">
        <v>46</v>
      </c>
      <c r="AC93" s="3">
        <v>80</v>
      </c>
      <c r="AD93" s="3" t="s">
        <v>1208</v>
      </c>
      <c r="AE93" s="3">
        <v>46</v>
      </c>
      <c r="AF93" s="5">
        <v>50</v>
      </c>
      <c r="AG93" s="3" t="s">
        <v>1373</v>
      </c>
      <c r="AH93" s="3">
        <v>30</v>
      </c>
      <c r="AI93" s="3">
        <v>80</v>
      </c>
      <c r="AJ93" s="3">
        <v>10</v>
      </c>
      <c r="AK93" s="3">
        <v>15</v>
      </c>
      <c r="AL93" s="3"/>
      <c r="AM93" s="3">
        <v>1</v>
      </c>
      <c r="AN93" s="3">
        <v>2</v>
      </c>
      <c r="AO93" s="3">
        <v>40</v>
      </c>
      <c r="AP93" s="3">
        <v>60</v>
      </c>
      <c r="AQ93" s="3"/>
      <c r="AR93" s="3"/>
      <c r="AS93" s="3">
        <v>70</v>
      </c>
      <c r="AT93" s="3"/>
      <c r="AU93" s="3">
        <v>25</v>
      </c>
      <c r="AV93" s="3"/>
      <c r="AW93" s="3"/>
      <c r="AX93" s="3"/>
      <c r="AY93" s="3"/>
      <c r="AZ93" s="3"/>
      <c r="BA93" s="3"/>
      <c r="BB93" s="3"/>
      <c r="BC93" s="3"/>
      <c r="BD93" s="3"/>
      <c r="BE93" s="6">
        <v>34</v>
      </c>
      <c r="BF93" s="6">
        <v>979</v>
      </c>
      <c r="BG93" s="6">
        <v>59</v>
      </c>
    </row>
    <row r="94" spans="1:59" ht="15.75" x14ac:dyDescent="0.25">
      <c r="A94" s="3">
        <v>89</v>
      </c>
      <c r="B94" s="3" t="s">
        <v>320</v>
      </c>
      <c r="C94" s="3" t="s">
        <v>321</v>
      </c>
      <c r="D94" s="3" t="s">
        <v>1374</v>
      </c>
      <c r="E94" s="3" t="s">
        <v>322</v>
      </c>
      <c r="F94" s="3" t="s">
        <v>1375</v>
      </c>
      <c r="G94" s="3" t="s">
        <v>322</v>
      </c>
      <c r="H94" s="3" t="s">
        <v>323</v>
      </c>
      <c r="I94" s="3"/>
      <c r="J94" s="4" t="b">
        <v>0</v>
      </c>
      <c r="K94" s="3">
        <f t="shared" si="4"/>
        <v>90</v>
      </c>
      <c r="L94" s="3"/>
      <c r="M94" s="3"/>
      <c r="N94" s="3" t="b">
        <v>0</v>
      </c>
      <c r="O94" s="3"/>
      <c r="P94" s="3">
        <v>78.599998474121094</v>
      </c>
      <c r="Q94" s="3" t="s">
        <v>1376</v>
      </c>
      <c r="R94" s="3" t="s">
        <v>1276</v>
      </c>
      <c r="S94" s="3" t="s">
        <v>324</v>
      </c>
      <c r="T94" s="3" t="s">
        <v>26</v>
      </c>
      <c r="U94" s="3" t="b">
        <v>0</v>
      </c>
      <c r="V94" s="3">
        <v>0.69999998807907104</v>
      </c>
      <c r="W94" s="3" t="e">
        <f t="shared" si="3"/>
        <v>#VALUE!</v>
      </c>
      <c r="X94" s="3">
        <v>9</v>
      </c>
      <c r="Y94" s="3">
        <v>0.79000002145767201</v>
      </c>
      <c r="Z94" s="3"/>
      <c r="AA94" s="3" t="str">
        <f t="shared" si="5"/>
        <v>Species</v>
      </c>
      <c r="AB94" s="3">
        <v>200</v>
      </c>
      <c r="AC94" s="3">
        <v>200</v>
      </c>
      <c r="AD94" s="3" t="s">
        <v>1208</v>
      </c>
      <c r="AE94" s="3">
        <v>200</v>
      </c>
      <c r="AF94" s="5">
        <v>90</v>
      </c>
      <c r="AG94" s="3" t="s">
        <v>1377</v>
      </c>
      <c r="AH94" s="3">
        <v>90</v>
      </c>
      <c r="AI94" s="3">
        <v>200</v>
      </c>
      <c r="AJ94" s="3">
        <v>50</v>
      </c>
      <c r="AK94" s="3">
        <v>80</v>
      </c>
      <c r="AL94" s="3"/>
      <c r="AM94" s="3"/>
      <c r="AN94" s="3"/>
      <c r="AO94" s="3"/>
      <c r="AP94" s="3"/>
      <c r="AQ94" s="3"/>
      <c r="AR94" s="3"/>
      <c r="AS94" s="3">
        <v>200</v>
      </c>
      <c r="AT94" s="3"/>
      <c r="AU94" s="3">
        <v>60</v>
      </c>
      <c r="AV94" s="3"/>
      <c r="AW94" s="3"/>
      <c r="AX94" s="3"/>
      <c r="AY94" s="3"/>
      <c r="AZ94" s="3"/>
      <c r="BA94" s="3"/>
      <c r="BB94" s="3"/>
      <c r="BC94" s="3"/>
      <c r="BD94" s="3"/>
      <c r="BE94" s="6">
        <v>40</v>
      </c>
      <c r="BF94" s="6">
        <v>290</v>
      </c>
      <c r="BG94" s="6">
        <v>59.299999237060497</v>
      </c>
    </row>
    <row r="95" spans="1:59" ht="15.75" x14ac:dyDescent="0.25">
      <c r="A95" s="3">
        <v>90</v>
      </c>
      <c r="B95" s="3" t="s">
        <v>379</v>
      </c>
      <c r="C95" s="3" t="s">
        <v>321</v>
      </c>
      <c r="D95" s="3" t="s">
        <v>1370</v>
      </c>
      <c r="E95" s="3" t="s">
        <v>371</v>
      </c>
      <c r="F95" s="3" t="s">
        <v>1378</v>
      </c>
      <c r="G95" s="3" t="s">
        <v>380</v>
      </c>
      <c r="H95" s="3" t="s">
        <v>381</v>
      </c>
      <c r="I95" s="3"/>
      <c r="J95" s="4" t="b">
        <v>0</v>
      </c>
      <c r="K95" s="3" t="str">
        <f t="shared" si="4"/>
        <v/>
      </c>
      <c r="L95" s="3"/>
      <c r="M95" s="3"/>
      <c r="N95" s="3" t="b">
        <v>0</v>
      </c>
      <c r="O95" s="3"/>
      <c r="P95" s="3">
        <v>40</v>
      </c>
      <c r="Q95" s="3"/>
      <c r="R95" s="3" t="s">
        <v>1276</v>
      </c>
      <c r="S95" s="3" t="s">
        <v>382</v>
      </c>
      <c r="T95" s="3" t="s">
        <v>26</v>
      </c>
      <c r="U95" s="3" t="b">
        <v>0</v>
      </c>
      <c r="V95" s="3">
        <v>0.69999998807907104</v>
      </c>
      <c r="W95" s="3" t="e">
        <f t="shared" si="3"/>
        <v>#VALUE!</v>
      </c>
      <c r="X95" s="3">
        <v>9</v>
      </c>
      <c r="Y95" s="3">
        <v>0.79000002145767201</v>
      </c>
      <c r="Z95" s="3"/>
      <c r="AA95" s="3" t="str">
        <f t="shared" si="5"/>
        <v>Species</v>
      </c>
      <c r="AB95" s="3" t="s">
        <v>1183</v>
      </c>
      <c r="AC95" s="3" t="s">
        <v>1183</v>
      </c>
      <c r="AD95" s="3" t="s">
        <v>1183</v>
      </c>
      <c r="AE95" s="3" t="s">
        <v>1183</v>
      </c>
      <c r="AF95" s="5" t="s">
        <v>1183</v>
      </c>
      <c r="AG95" s="3" t="s">
        <v>1183</v>
      </c>
      <c r="AH95" s="3" t="s">
        <v>1183</v>
      </c>
      <c r="AI95" s="3" t="s">
        <v>1183</v>
      </c>
      <c r="AJ95" s="3" t="s">
        <v>1183</v>
      </c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6">
        <v>18.199999999999996</v>
      </c>
      <c r="BF95" s="6">
        <v>3</v>
      </c>
      <c r="BG95" s="6">
        <v>21</v>
      </c>
    </row>
    <row r="96" spans="1:59" ht="15.75" x14ac:dyDescent="0.25">
      <c r="A96" s="3">
        <v>91</v>
      </c>
      <c r="B96" s="3" t="s">
        <v>383</v>
      </c>
      <c r="C96" s="3" t="s">
        <v>321</v>
      </c>
      <c r="D96" s="3" t="s">
        <v>1370</v>
      </c>
      <c r="E96" s="3" t="s">
        <v>371</v>
      </c>
      <c r="F96" s="3" t="s">
        <v>1379</v>
      </c>
      <c r="G96" s="3" t="s">
        <v>384</v>
      </c>
      <c r="H96" s="3" t="s">
        <v>385</v>
      </c>
      <c r="I96" s="3"/>
      <c r="J96" s="4" t="b">
        <v>0</v>
      </c>
      <c r="K96" s="3">
        <f t="shared" si="4"/>
        <v>90</v>
      </c>
      <c r="L96" s="3"/>
      <c r="M96" s="3"/>
      <c r="N96" s="3" t="b">
        <v>0</v>
      </c>
      <c r="O96" s="3"/>
      <c r="P96" s="3">
        <v>53.099998474121101</v>
      </c>
      <c r="Q96" s="3" t="s">
        <v>1380</v>
      </c>
      <c r="R96" s="3" t="s">
        <v>1276</v>
      </c>
      <c r="S96" s="3" t="s">
        <v>386</v>
      </c>
      <c r="T96" s="3" t="s">
        <v>26</v>
      </c>
      <c r="U96" s="3" t="b">
        <v>0</v>
      </c>
      <c r="V96" s="3">
        <v>0.64999997615814198</v>
      </c>
      <c r="W96" s="3" t="e">
        <f t="shared" si="3"/>
        <v>#VALUE!</v>
      </c>
      <c r="X96" s="3">
        <v>9</v>
      </c>
      <c r="Y96" s="3">
        <v>0.79000002145767201</v>
      </c>
      <c r="Z96" s="3"/>
      <c r="AA96" s="3" t="str">
        <f t="shared" si="5"/>
        <v>Species</v>
      </c>
      <c r="AB96" s="3">
        <v>90</v>
      </c>
      <c r="AC96" s="3" t="s">
        <v>1183</v>
      </c>
      <c r="AD96" s="3" t="s">
        <v>1183</v>
      </c>
      <c r="AE96" s="3">
        <v>90</v>
      </c>
      <c r="AF96" s="5">
        <v>90</v>
      </c>
      <c r="AG96" s="3" t="s">
        <v>1381</v>
      </c>
      <c r="AH96" s="3">
        <v>50</v>
      </c>
      <c r="AI96" s="3">
        <v>100</v>
      </c>
      <c r="AJ96" s="3">
        <v>30</v>
      </c>
      <c r="AK96" s="3">
        <v>70</v>
      </c>
      <c r="AL96" s="3"/>
      <c r="AM96" s="3"/>
      <c r="AN96" s="3"/>
      <c r="AO96" s="3"/>
      <c r="AP96" s="3"/>
      <c r="AQ96" s="3"/>
      <c r="AR96" s="3"/>
      <c r="AS96" s="3">
        <v>90</v>
      </c>
      <c r="AT96" s="3"/>
      <c r="AU96" s="3">
        <v>40</v>
      </c>
      <c r="AV96" s="3"/>
      <c r="AW96" s="3"/>
      <c r="AX96" s="3"/>
      <c r="AY96" s="3"/>
      <c r="AZ96" s="3"/>
      <c r="BA96" s="3"/>
      <c r="BB96" s="3"/>
      <c r="BC96" s="3"/>
      <c r="BD96" s="3"/>
      <c r="BE96" s="6" t="e">
        <v>#NUM!</v>
      </c>
      <c r="BF96" s="6">
        <v>0</v>
      </c>
      <c r="BG96" s="6" t="e">
        <v>#NUM!</v>
      </c>
    </row>
    <row r="97" spans="1:59" ht="15.75" x14ac:dyDescent="0.25">
      <c r="A97" s="3">
        <v>92</v>
      </c>
      <c r="B97" s="3" t="s">
        <v>387</v>
      </c>
      <c r="C97" s="3" t="s">
        <v>321</v>
      </c>
      <c r="D97" s="3" t="s">
        <v>1370</v>
      </c>
      <c r="E97" s="3" t="s">
        <v>371</v>
      </c>
      <c r="F97" s="3" t="s">
        <v>1382</v>
      </c>
      <c r="G97" s="3" t="s">
        <v>388</v>
      </c>
      <c r="H97" s="3" t="s">
        <v>1383</v>
      </c>
      <c r="I97" s="3"/>
      <c r="J97" s="4" t="s">
        <v>1188</v>
      </c>
      <c r="K97" s="3" t="str">
        <f t="shared" si="4"/>
        <v/>
      </c>
      <c r="L97" s="3"/>
      <c r="M97" s="3"/>
      <c r="N97" s="3" t="b">
        <v>0</v>
      </c>
      <c r="O97" s="3"/>
      <c r="P97" s="3">
        <v>40</v>
      </c>
      <c r="Q97" s="3"/>
      <c r="R97" s="3" t="s">
        <v>1276</v>
      </c>
      <c r="S97" s="3"/>
      <c r="T97" s="3" t="s">
        <v>26</v>
      </c>
      <c r="U97" s="3"/>
      <c r="V97" s="3"/>
      <c r="W97" s="3" t="str">
        <f t="shared" si="3"/>
        <v/>
      </c>
      <c r="X97" s="3">
        <v>9</v>
      </c>
      <c r="Y97" s="3">
        <v>0.79000002145767201</v>
      </c>
      <c r="Z97" s="3"/>
      <c r="AA97" s="3" t="str">
        <f t="shared" si="5"/>
        <v>Genus</v>
      </c>
      <c r="AB97" s="3" t="s">
        <v>1183</v>
      </c>
      <c r="AC97" s="3" t="s">
        <v>1183</v>
      </c>
      <c r="AD97" s="3" t="s">
        <v>1183</v>
      </c>
      <c r="AE97" s="3" t="s">
        <v>1183</v>
      </c>
      <c r="AF97" s="5"/>
      <c r="AG97" s="3" t="s">
        <v>1183</v>
      </c>
      <c r="AH97" s="3" t="s">
        <v>1183</v>
      </c>
      <c r="AI97" s="3" t="s">
        <v>1183</v>
      </c>
      <c r="AJ97" s="3" t="s">
        <v>1183</v>
      </c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6">
        <v>46.400000000000006</v>
      </c>
      <c r="BF97" s="6">
        <v>157</v>
      </c>
      <c r="BG97" s="6">
        <v>76.599999999999994</v>
      </c>
    </row>
    <row r="98" spans="1:59" ht="15.75" x14ac:dyDescent="0.25">
      <c r="A98" s="3">
        <v>93</v>
      </c>
      <c r="B98" s="3" t="s">
        <v>375</v>
      </c>
      <c r="C98" s="3" t="s">
        <v>321</v>
      </c>
      <c r="D98" s="3" t="s">
        <v>1370</v>
      </c>
      <c r="E98" s="3" t="s">
        <v>371</v>
      </c>
      <c r="F98" s="3" t="s">
        <v>1384</v>
      </c>
      <c r="G98" s="3" t="s">
        <v>376</v>
      </c>
      <c r="H98" s="3" t="s">
        <v>377</v>
      </c>
      <c r="I98" s="3"/>
      <c r="J98" s="4" t="b">
        <v>0</v>
      </c>
      <c r="K98" s="3"/>
      <c r="L98" s="3"/>
      <c r="M98" s="3"/>
      <c r="N98" s="3" t="b">
        <v>0</v>
      </c>
      <c r="O98" s="3"/>
      <c r="P98" s="3">
        <v>40</v>
      </c>
      <c r="Q98" s="3"/>
      <c r="R98" s="3" t="s">
        <v>1276</v>
      </c>
      <c r="S98" s="3" t="s">
        <v>378</v>
      </c>
      <c r="T98" s="3" t="s">
        <v>26</v>
      </c>
      <c r="U98" s="3" t="b">
        <v>0</v>
      </c>
      <c r="V98" s="3">
        <v>0.75999999046325695</v>
      </c>
      <c r="W98" s="3" t="e">
        <f t="shared" si="3"/>
        <v>#VALUE!</v>
      </c>
      <c r="X98" s="3">
        <v>9</v>
      </c>
      <c r="Y98" s="3">
        <v>0.79000002145767201</v>
      </c>
      <c r="Z98" s="3"/>
      <c r="AA98" s="3" t="str">
        <f t="shared" si="5"/>
        <v>Species</v>
      </c>
      <c r="AB98" s="3" t="s">
        <v>1183</v>
      </c>
      <c r="AC98" s="3" t="s">
        <v>1183</v>
      </c>
      <c r="AD98" s="3" t="s">
        <v>1183</v>
      </c>
      <c r="AE98" s="3" t="s">
        <v>1183</v>
      </c>
      <c r="AF98" s="5">
        <v>40</v>
      </c>
      <c r="AG98" s="3" t="s">
        <v>1183</v>
      </c>
      <c r="AH98" s="3" t="s">
        <v>1183</v>
      </c>
      <c r="AI98" s="3" t="s">
        <v>1183</v>
      </c>
      <c r="AJ98" s="3" t="s">
        <v>1183</v>
      </c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6">
        <v>35.200000000000017</v>
      </c>
      <c r="BF98" s="6">
        <v>69</v>
      </c>
      <c r="BG98" s="6">
        <v>68</v>
      </c>
    </row>
    <row r="99" spans="1:59" ht="15.75" x14ac:dyDescent="0.25">
      <c r="A99" s="3">
        <v>94</v>
      </c>
      <c r="B99" s="3" t="s">
        <v>258</v>
      </c>
      <c r="C99" s="3" t="s">
        <v>42</v>
      </c>
      <c r="D99" s="3" t="s">
        <v>1198</v>
      </c>
      <c r="E99" s="3" t="s">
        <v>220</v>
      </c>
      <c r="F99" s="3" t="s">
        <v>1385</v>
      </c>
      <c r="G99" s="3" t="s">
        <v>259</v>
      </c>
      <c r="H99" s="3" t="s">
        <v>260</v>
      </c>
      <c r="I99" s="3"/>
      <c r="J99" s="4" t="b">
        <v>0</v>
      </c>
      <c r="K99" s="3" t="str">
        <f t="shared" si="4"/>
        <v/>
      </c>
      <c r="L99" s="3"/>
      <c r="M99" s="3"/>
      <c r="N99" s="3" t="b">
        <v>0</v>
      </c>
      <c r="O99" s="3"/>
      <c r="P99" s="3">
        <v>40</v>
      </c>
      <c r="Q99" s="3"/>
      <c r="R99" s="3" t="s">
        <v>1181</v>
      </c>
      <c r="S99" s="3"/>
      <c r="T99" s="3" t="s">
        <v>26</v>
      </c>
      <c r="U99" s="3" t="b">
        <v>0</v>
      </c>
      <c r="V99" s="3">
        <v>0.55000001192092896</v>
      </c>
      <c r="W99" s="3" t="str">
        <f t="shared" si="3"/>
        <v/>
      </c>
      <c r="X99" s="3">
        <v>9</v>
      </c>
      <c r="Y99" s="3">
        <v>0.79000002145767201</v>
      </c>
      <c r="Z99" s="3"/>
      <c r="AA99" s="3" t="str">
        <f t="shared" si="5"/>
        <v>Species</v>
      </c>
      <c r="AB99" s="3" t="s">
        <v>1183</v>
      </c>
      <c r="AC99" s="3" t="s">
        <v>1183</v>
      </c>
      <c r="AD99" s="3" t="s">
        <v>1183</v>
      </c>
      <c r="AE99" s="3" t="s">
        <v>1183</v>
      </c>
      <c r="AF99" s="5" t="s">
        <v>1183</v>
      </c>
      <c r="AG99" s="3" t="s">
        <v>1183</v>
      </c>
      <c r="AH99" s="3" t="s">
        <v>1183</v>
      </c>
      <c r="AI99" s="3" t="s">
        <v>1183</v>
      </c>
      <c r="AJ99" s="3" t="s">
        <v>1183</v>
      </c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6">
        <v>10.9</v>
      </c>
      <c r="BF99" s="6">
        <v>6</v>
      </c>
      <c r="BG99" s="6">
        <v>12</v>
      </c>
    </row>
    <row r="100" spans="1:59" ht="15.75" x14ac:dyDescent="0.25">
      <c r="A100" s="3">
        <v>95</v>
      </c>
      <c r="B100" s="3" t="s">
        <v>390</v>
      </c>
      <c r="C100" s="3" t="s">
        <v>390</v>
      </c>
      <c r="D100" s="3" t="s">
        <v>390</v>
      </c>
      <c r="E100" s="3" t="s">
        <v>390</v>
      </c>
      <c r="F100" s="3" t="s">
        <v>390</v>
      </c>
      <c r="G100" s="3" t="s">
        <v>390</v>
      </c>
      <c r="H100" s="3" t="s">
        <v>390</v>
      </c>
      <c r="I100" s="3"/>
      <c r="J100" s="4" t="s">
        <v>1188</v>
      </c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 t="b">
        <v>0</v>
      </c>
      <c r="V100" s="3"/>
      <c r="W100" s="3" t="str">
        <f t="shared" si="3"/>
        <v/>
      </c>
      <c r="X100" s="3"/>
      <c r="Y100" s="3"/>
      <c r="Z100" s="3"/>
      <c r="AA100" s="3" t="s">
        <v>1329</v>
      </c>
      <c r="AB100" s="3"/>
      <c r="AC100" s="3" t="s">
        <v>1183</v>
      </c>
      <c r="AD100" s="3" t="s">
        <v>1183</v>
      </c>
      <c r="AE100" s="3" t="s">
        <v>1183</v>
      </c>
      <c r="AF100" s="5"/>
      <c r="AG100" s="3" t="s">
        <v>1183</v>
      </c>
      <c r="AH100" s="3" t="s">
        <v>1183</v>
      </c>
      <c r="AI100" s="3" t="s">
        <v>1183</v>
      </c>
      <c r="AJ100" s="3" t="s">
        <v>1183</v>
      </c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6"/>
      <c r="BF100" s="6"/>
      <c r="BG100" s="6"/>
    </row>
    <row r="101" spans="1:59" ht="15.75" x14ac:dyDescent="0.25">
      <c r="A101" s="3">
        <v>96</v>
      </c>
      <c r="B101" s="3" t="s">
        <v>391</v>
      </c>
      <c r="C101" s="3" t="s">
        <v>392</v>
      </c>
      <c r="D101" s="3" t="s">
        <v>1386</v>
      </c>
      <c r="E101" s="3" t="s">
        <v>393</v>
      </c>
      <c r="F101" s="3" t="s">
        <v>1387</v>
      </c>
      <c r="G101" s="3" t="s">
        <v>393</v>
      </c>
      <c r="H101" s="3" t="s">
        <v>394</v>
      </c>
      <c r="I101" s="3"/>
      <c r="J101" s="4" t="b">
        <v>0</v>
      </c>
      <c r="K101" s="3">
        <f t="shared" si="4"/>
        <v>80</v>
      </c>
      <c r="L101" s="3"/>
      <c r="M101" s="3"/>
      <c r="N101" s="3" t="b">
        <v>1</v>
      </c>
      <c r="O101" s="3"/>
      <c r="P101" s="3">
        <v>59.400001525878899</v>
      </c>
      <c r="Q101" s="3" t="s">
        <v>1388</v>
      </c>
      <c r="R101" s="3" t="s">
        <v>1181</v>
      </c>
      <c r="S101" s="3" t="s">
        <v>191</v>
      </c>
      <c r="T101" s="3" t="s">
        <v>26</v>
      </c>
      <c r="U101" s="3" t="b">
        <v>0</v>
      </c>
      <c r="V101" s="3">
        <v>0.64999997615814198</v>
      </c>
      <c r="W101" s="3" t="e">
        <f t="shared" si="3"/>
        <v>#VALUE!</v>
      </c>
      <c r="X101" s="3">
        <v>9</v>
      </c>
      <c r="Y101" s="3">
        <v>0.81000000238418601</v>
      </c>
      <c r="Z101" s="3"/>
      <c r="AA101" s="3" t="str">
        <f t="shared" si="5"/>
        <v>Species</v>
      </c>
      <c r="AB101" s="3">
        <v>80</v>
      </c>
      <c r="AC101" s="3" t="s">
        <v>1183</v>
      </c>
      <c r="AD101" s="3" t="s">
        <v>1183</v>
      </c>
      <c r="AE101" s="3">
        <v>80</v>
      </c>
      <c r="AF101" s="5">
        <v>80</v>
      </c>
      <c r="AG101" s="3" t="s">
        <v>1183</v>
      </c>
      <c r="AH101" s="3" t="s">
        <v>1183</v>
      </c>
      <c r="AI101" s="3" t="s">
        <v>1183</v>
      </c>
      <c r="AJ101" s="3" t="s">
        <v>1183</v>
      </c>
      <c r="AK101" s="3"/>
      <c r="AL101" s="3"/>
      <c r="AM101" s="3"/>
      <c r="AN101" s="3"/>
      <c r="AO101" s="3"/>
      <c r="AP101" s="3"/>
      <c r="AQ101" s="3"/>
      <c r="AR101" s="3"/>
      <c r="AS101" s="3">
        <v>80</v>
      </c>
      <c r="AT101" s="3"/>
      <c r="AU101" s="3">
        <v>25</v>
      </c>
      <c r="AV101" s="3"/>
      <c r="AW101" s="3"/>
      <c r="AX101" s="3"/>
      <c r="AY101" s="3"/>
      <c r="AZ101" s="3"/>
      <c r="BA101" s="3"/>
      <c r="BB101" s="3"/>
      <c r="BC101" s="3"/>
      <c r="BD101" s="3"/>
      <c r="BE101" s="6">
        <v>23</v>
      </c>
      <c r="BF101" s="6">
        <v>2510</v>
      </c>
      <c r="BG101" s="6">
        <v>95</v>
      </c>
    </row>
    <row r="102" spans="1:59" ht="15.75" x14ac:dyDescent="0.25">
      <c r="A102" s="3">
        <v>97</v>
      </c>
      <c r="B102" s="3" t="s">
        <v>531</v>
      </c>
      <c r="C102" s="3" t="s">
        <v>141</v>
      </c>
      <c r="D102" s="3" t="s">
        <v>1389</v>
      </c>
      <c r="E102" s="3" t="s">
        <v>532</v>
      </c>
      <c r="F102" s="3" t="s">
        <v>1690</v>
      </c>
      <c r="G102" s="3" t="s">
        <v>533</v>
      </c>
      <c r="H102" s="3" t="s">
        <v>534</v>
      </c>
      <c r="I102" s="3"/>
      <c r="J102" s="4" t="b">
        <v>0</v>
      </c>
      <c r="K102" s="3" t="str">
        <f t="shared" si="4"/>
        <v/>
      </c>
      <c r="L102" s="3"/>
      <c r="M102" s="3"/>
      <c r="N102" s="3" t="b">
        <v>0</v>
      </c>
      <c r="O102" s="3"/>
      <c r="P102" s="3">
        <v>40</v>
      </c>
      <c r="Q102" s="3"/>
      <c r="R102" s="3" t="s">
        <v>1181</v>
      </c>
      <c r="S102" s="3"/>
      <c r="T102" s="3" t="s">
        <v>26</v>
      </c>
      <c r="U102" s="3" t="b">
        <v>0</v>
      </c>
      <c r="V102" s="3">
        <v>0.64999997615814198</v>
      </c>
      <c r="W102" s="3" t="str">
        <f t="shared" si="3"/>
        <v/>
      </c>
      <c r="X102" s="3">
        <v>9</v>
      </c>
      <c r="Y102" s="3">
        <v>0.79000002145767201</v>
      </c>
      <c r="Z102" s="3"/>
      <c r="AA102" s="3" t="str">
        <f t="shared" si="5"/>
        <v>Species</v>
      </c>
      <c r="AB102" s="3" t="s">
        <v>1183</v>
      </c>
      <c r="AC102" s="3" t="s">
        <v>1183</v>
      </c>
      <c r="AD102" s="3" t="s">
        <v>1183</v>
      </c>
      <c r="AE102" s="3" t="s">
        <v>1183</v>
      </c>
      <c r="AF102" s="5" t="s">
        <v>1183</v>
      </c>
      <c r="AG102" s="3" t="s">
        <v>1183</v>
      </c>
      <c r="AH102" s="3" t="s">
        <v>1183</v>
      </c>
      <c r="AI102" s="3" t="s">
        <v>1183</v>
      </c>
      <c r="AJ102" s="3" t="s">
        <v>1183</v>
      </c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6">
        <v>20.700000000000003</v>
      </c>
      <c r="BF102" s="6">
        <v>12</v>
      </c>
      <c r="BG102" s="6">
        <v>22</v>
      </c>
    </row>
    <row r="103" spans="1:59" ht="15.75" x14ac:dyDescent="0.25">
      <c r="A103" s="3">
        <v>98</v>
      </c>
      <c r="B103" s="3" t="s">
        <v>400</v>
      </c>
      <c r="C103" s="3" t="s">
        <v>401</v>
      </c>
      <c r="D103" s="3" t="s">
        <v>1390</v>
      </c>
      <c r="E103" s="3" t="s">
        <v>402</v>
      </c>
      <c r="F103" s="3" t="s">
        <v>1391</v>
      </c>
      <c r="G103" s="3" t="s">
        <v>403</v>
      </c>
      <c r="H103" s="3" t="s">
        <v>404</v>
      </c>
      <c r="I103" s="3"/>
      <c r="J103" s="4" t="b">
        <v>1</v>
      </c>
      <c r="K103" s="3" t="str">
        <f t="shared" si="4"/>
        <v/>
      </c>
      <c r="L103" s="3"/>
      <c r="M103" s="3"/>
      <c r="N103" s="3" t="b">
        <v>0</v>
      </c>
      <c r="O103" s="3"/>
      <c r="P103" s="3">
        <v>60</v>
      </c>
      <c r="Q103" s="3"/>
      <c r="R103" s="3" t="s">
        <v>1181</v>
      </c>
      <c r="S103" s="3" t="s">
        <v>405</v>
      </c>
      <c r="T103" s="3" t="s">
        <v>26</v>
      </c>
      <c r="U103" s="3" t="b">
        <v>0</v>
      </c>
      <c r="V103" s="3">
        <v>0.69999998807907104</v>
      </c>
      <c r="W103" s="3" t="e">
        <f t="shared" si="3"/>
        <v>#VALUE!</v>
      </c>
      <c r="X103" s="3">
        <v>9</v>
      </c>
      <c r="Y103" s="3">
        <v>0.79000002145767201</v>
      </c>
      <c r="Z103" s="3"/>
      <c r="AA103" s="3" t="str">
        <f t="shared" si="5"/>
        <v>Species</v>
      </c>
      <c r="AB103" s="3" t="s">
        <v>1183</v>
      </c>
      <c r="AC103" s="3" t="s">
        <v>1183</v>
      </c>
      <c r="AD103" s="3" t="s">
        <v>1183</v>
      </c>
      <c r="AE103" s="3" t="s">
        <v>1183</v>
      </c>
      <c r="AF103" s="5" t="s">
        <v>1183</v>
      </c>
      <c r="AG103" s="3" t="s">
        <v>1183</v>
      </c>
      <c r="AH103" s="3" t="s">
        <v>1183</v>
      </c>
      <c r="AI103" s="3" t="s">
        <v>1183</v>
      </c>
      <c r="AJ103" s="3" t="s">
        <v>1183</v>
      </c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6">
        <v>19.799999999999997</v>
      </c>
      <c r="BF103" s="6">
        <v>2</v>
      </c>
      <c r="BG103" s="6">
        <v>21</v>
      </c>
    </row>
    <row r="104" spans="1:59" ht="15.75" x14ac:dyDescent="0.25">
      <c r="A104" s="3">
        <v>99</v>
      </c>
      <c r="B104" s="3" t="s">
        <v>406</v>
      </c>
      <c r="C104" s="3" t="s">
        <v>326</v>
      </c>
      <c r="D104" s="3" t="s">
        <v>1392</v>
      </c>
      <c r="E104" s="3" t="s">
        <v>407</v>
      </c>
      <c r="F104" s="3" t="s">
        <v>1393</v>
      </c>
      <c r="G104" s="3" t="s">
        <v>407</v>
      </c>
      <c r="H104" s="3" t="s">
        <v>408</v>
      </c>
      <c r="I104" s="3"/>
      <c r="J104" s="4" t="b">
        <v>1</v>
      </c>
      <c r="K104" s="3">
        <f t="shared" si="4"/>
        <v>50</v>
      </c>
      <c r="L104" s="3"/>
      <c r="M104" s="3"/>
      <c r="N104" s="3" t="b">
        <v>0</v>
      </c>
      <c r="O104" s="3"/>
      <c r="P104" s="3">
        <v>50.700000762939503</v>
      </c>
      <c r="Q104" s="3" t="s">
        <v>1252</v>
      </c>
      <c r="R104" s="3" t="s">
        <v>1181</v>
      </c>
      <c r="S104" s="3" t="s">
        <v>409</v>
      </c>
      <c r="T104" s="3" t="s">
        <v>26</v>
      </c>
      <c r="U104" s="3" t="b">
        <v>0</v>
      </c>
      <c r="V104" s="3">
        <v>0.66000002622604403</v>
      </c>
      <c r="W104" s="3" t="e">
        <f t="shared" si="3"/>
        <v>#VALUE!</v>
      </c>
      <c r="X104" s="3">
        <v>9</v>
      </c>
      <c r="Y104" s="3">
        <v>0.87999999523162797</v>
      </c>
      <c r="Z104" s="3"/>
      <c r="AA104" s="3" t="str">
        <f t="shared" si="5"/>
        <v>Species</v>
      </c>
      <c r="AB104" s="3">
        <v>50</v>
      </c>
      <c r="AC104" s="3" t="s">
        <v>1183</v>
      </c>
      <c r="AD104" s="3" t="s">
        <v>1183</v>
      </c>
      <c r="AE104" s="3">
        <v>50</v>
      </c>
      <c r="AF104" s="5">
        <v>50</v>
      </c>
      <c r="AG104" s="3" t="s">
        <v>1394</v>
      </c>
      <c r="AH104" s="3">
        <v>30</v>
      </c>
      <c r="AI104" s="3">
        <v>60</v>
      </c>
      <c r="AJ104" s="3">
        <v>12</v>
      </c>
      <c r="AK104" s="3">
        <v>18</v>
      </c>
      <c r="AL104" s="3"/>
      <c r="AM104" s="3"/>
      <c r="AN104" s="3"/>
      <c r="AO104" s="3"/>
      <c r="AP104" s="3"/>
      <c r="AQ104" s="3"/>
      <c r="AR104" s="3"/>
      <c r="AS104" s="3">
        <v>50</v>
      </c>
      <c r="AT104" s="3"/>
      <c r="AU104" s="3">
        <v>15</v>
      </c>
      <c r="AV104" s="3"/>
      <c r="AW104" s="3"/>
      <c r="AX104" s="3"/>
      <c r="AY104" s="3"/>
      <c r="AZ104" s="3"/>
      <c r="BA104" s="3"/>
      <c r="BB104" s="3"/>
      <c r="BC104" s="3"/>
      <c r="BD104" s="3"/>
      <c r="BE104" s="6">
        <v>23</v>
      </c>
      <c r="BF104" s="6">
        <v>4954</v>
      </c>
      <c r="BG104" s="6">
        <v>72</v>
      </c>
    </row>
    <row r="105" spans="1:59" ht="15.75" x14ac:dyDescent="0.25">
      <c r="A105" s="3">
        <v>100</v>
      </c>
      <c r="B105" s="3" t="s">
        <v>417</v>
      </c>
      <c r="C105" s="3" t="s">
        <v>42</v>
      </c>
      <c r="D105" s="3" t="s">
        <v>1395</v>
      </c>
      <c r="E105" s="3" t="s">
        <v>411</v>
      </c>
      <c r="F105" s="3" t="s">
        <v>1396</v>
      </c>
      <c r="G105" s="3" t="s">
        <v>418</v>
      </c>
      <c r="H105" s="3" t="s">
        <v>419</v>
      </c>
      <c r="I105" s="3"/>
      <c r="J105" s="4" t="b">
        <v>1</v>
      </c>
      <c r="K105" s="3" t="str">
        <f t="shared" si="4"/>
        <v/>
      </c>
      <c r="L105" s="3"/>
      <c r="M105" s="3"/>
      <c r="N105" s="3" t="b">
        <v>0</v>
      </c>
      <c r="O105" s="3"/>
      <c r="P105" s="3">
        <v>40</v>
      </c>
      <c r="Q105" s="3"/>
      <c r="R105" s="3" t="s">
        <v>1181</v>
      </c>
      <c r="S105" s="3" t="s">
        <v>420</v>
      </c>
      <c r="T105" s="3" t="s">
        <v>26</v>
      </c>
      <c r="U105" s="3" t="b">
        <v>0</v>
      </c>
      <c r="V105" s="3">
        <v>0.60000002384185802</v>
      </c>
      <c r="W105" s="3" t="e">
        <f t="shared" si="3"/>
        <v>#VALUE!</v>
      </c>
      <c r="X105" s="3">
        <v>9</v>
      </c>
      <c r="Y105" s="3">
        <v>0.875</v>
      </c>
      <c r="Z105" s="3"/>
      <c r="AA105" s="3" t="str">
        <f t="shared" si="5"/>
        <v>Species</v>
      </c>
      <c r="AB105" s="3" t="s">
        <v>1183</v>
      </c>
      <c r="AC105" s="3" t="s">
        <v>1183</v>
      </c>
      <c r="AD105" s="3" t="s">
        <v>1183</v>
      </c>
      <c r="AE105" s="3" t="s">
        <v>1183</v>
      </c>
      <c r="AF105" s="5" t="s">
        <v>1183</v>
      </c>
      <c r="AG105" s="3" t="s">
        <v>1183</v>
      </c>
      <c r="AH105" s="3" t="s">
        <v>1183</v>
      </c>
      <c r="AI105" s="3" t="s">
        <v>1183</v>
      </c>
      <c r="AJ105" s="3" t="s">
        <v>1183</v>
      </c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6">
        <v>4</v>
      </c>
      <c r="BF105" s="6">
        <v>45</v>
      </c>
      <c r="BG105" s="6">
        <v>5</v>
      </c>
    </row>
    <row r="106" spans="1:59" ht="15.75" x14ac:dyDescent="0.25">
      <c r="A106" s="3">
        <v>101</v>
      </c>
      <c r="B106" s="3" t="s">
        <v>421</v>
      </c>
      <c r="C106" s="3" t="s">
        <v>42</v>
      </c>
      <c r="D106" s="3" t="s">
        <v>1395</v>
      </c>
      <c r="E106" s="3" t="s">
        <v>411</v>
      </c>
      <c r="F106" s="3" t="s">
        <v>1397</v>
      </c>
      <c r="G106" s="3" t="s">
        <v>422</v>
      </c>
      <c r="H106" s="3" t="s">
        <v>423</v>
      </c>
      <c r="I106" s="3"/>
      <c r="J106" s="4" t="b">
        <v>0</v>
      </c>
      <c r="K106" s="3" t="str">
        <f t="shared" si="4"/>
        <v/>
      </c>
      <c r="L106" s="3"/>
      <c r="M106" s="3"/>
      <c r="N106" s="3" t="b">
        <v>0</v>
      </c>
      <c r="O106" s="3"/>
      <c r="P106" s="3">
        <v>40</v>
      </c>
      <c r="Q106" s="3"/>
      <c r="R106" s="3" t="s">
        <v>1181</v>
      </c>
      <c r="S106" s="3" t="s">
        <v>424</v>
      </c>
      <c r="T106" s="3" t="s">
        <v>26</v>
      </c>
      <c r="U106" s="3" t="b">
        <v>0</v>
      </c>
      <c r="V106" s="3">
        <v>0.60000002384185802</v>
      </c>
      <c r="W106" s="3" t="e">
        <f t="shared" si="3"/>
        <v>#VALUE!</v>
      </c>
      <c r="X106" s="3">
        <v>9</v>
      </c>
      <c r="Y106" s="3">
        <v>0.875</v>
      </c>
      <c r="Z106" s="3"/>
      <c r="AA106" s="3" t="str">
        <f t="shared" si="5"/>
        <v>Species</v>
      </c>
      <c r="AB106" s="3" t="s">
        <v>1183</v>
      </c>
      <c r="AC106" s="3" t="s">
        <v>1183</v>
      </c>
      <c r="AD106" s="3" t="s">
        <v>1183</v>
      </c>
      <c r="AE106" s="3" t="s">
        <v>1183</v>
      </c>
      <c r="AF106" s="5" t="s">
        <v>1183</v>
      </c>
      <c r="AG106" s="3" t="s">
        <v>1183</v>
      </c>
      <c r="AH106" s="3" t="s">
        <v>1183</v>
      </c>
      <c r="AI106" s="3" t="s">
        <v>1183</v>
      </c>
      <c r="AJ106" s="3" t="s">
        <v>1183</v>
      </c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6">
        <v>18.119999961853029</v>
      </c>
      <c r="BF106" s="6">
        <v>2</v>
      </c>
      <c r="BG106" s="6">
        <v>18.7</v>
      </c>
    </row>
    <row r="107" spans="1:59" ht="15.75" x14ac:dyDescent="0.25">
      <c r="A107" s="3">
        <v>102</v>
      </c>
      <c r="B107" s="3" t="s">
        <v>428</v>
      </c>
      <c r="C107" s="3" t="s">
        <v>42</v>
      </c>
      <c r="D107" s="3" t="s">
        <v>1395</v>
      </c>
      <c r="E107" s="3" t="s">
        <v>411</v>
      </c>
      <c r="F107" s="3" t="s">
        <v>1398</v>
      </c>
      <c r="G107" s="3" t="s">
        <v>429</v>
      </c>
      <c r="H107" s="3" t="s">
        <v>430</v>
      </c>
      <c r="I107" s="3"/>
      <c r="J107" s="4" t="b">
        <v>0</v>
      </c>
      <c r="K107" s="3">
        <f t="shared" si="4"/>
        <v>30</v>
      </c>
      <c r="L107" s="3"/>
      <c r="M107" s="3"/>
      <c r="N107" s="3" t="b">
        <v>0</v>
      </c>
      <c r="O107" s="3"/>
      <c r="P107" s="3">
        <v>13.5</v>
      </c>
      <c r="Q107" s="3"/>
      <c r="R107" s="3" t="s">
        <v>1181</v>
      </c>
      <c r="S107" s="3" t="s">
        <v>65</v>
      </c>
      <c r="T107" s="3" t="s">
        <v>26</v>
      </c>
      <c r="U107" s="3" t="b">
        <v>0</v>
      </c>
      <c r="V107" s="3">
        <v>0.60000002384185802</v>
      </c>
      <c r="W107" s="3" t="e">
        <f t="shared" si="3"/>
        <v>#VALUE!</v>
      </c>
      <c r="X107" s="3">
        <v>9</v>
      </c>
      <c r="Y107" s="3">
        <v>0.86000001430511497</v>
      </c>
      <c r="Z107" s="3"/>
      <c r="AA107" s="3" t="str">
        <f t="shared" si="5"/>
        <v>Species</v>
      </c>
      <c r="AB107" s="3">
        <v>30</v>
      </c>
      <c r="AC107" s="3">
        <v>40</v>
      </c>
      <c r="AD107" s="3" t="s">
        <v>1208</v>
      </c>
      <c r="AE107" s="3">
        <v>30</v>
      </c>
      <c r="AF107" s="5">
        <v>30</v>
      </c>
      <c r="AG107" s="3" t="s">
        <v>1183</v>
      </c>
      <c r="AH107" s="3" t="s">
        <v>1183</v>
      </c>
      <c r="AI107" s="3" t="s">
        <v>1183</v>
      </c>
      <c r="AJ107" s="3" t="s">
        <v>1183</v>
      </c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6">
        <v>21</v>
      </c>
      <c r="BF107" s="6">
        <v>60</v>
      </c>
      <c r="BG107" s="6">
        <v>30.549999237060501</v>
      </c>
    </row>
    <row r="108" spans="1:59" ht="15.75" x14ac:dyDescent="0.25">
      <c r="A108" s="3">
        <v>103</v>
      </c>
      <c r="B108" s="3" t="s">
        <v>410</v>
      </c>
      <c r="C108" s="3" t="s">
        <v>42</v>
      </c>
      <c r="D108" s="3" t="s">
        <v>1395</v>
      </c>
      <c r="E108" s="3" t="s">
        <v>411</v>
      </c>
      <c r="F108" s="3" t="s">
        <v>1399</v>
      </c>
      <c r="G108" s="3" t="s">
        <v>412</v>
      </c>
      <c r="H108" s="3" t="s">
        <v>413</v>
      </c>
      <c r="I108" s="3"/>
      <c r="J108" s="4" t="b">
        <v>0</v>
      </c>
      <c r="K108" s="3" t="str">
        <f t="shared" si="4"/>
        <v/>
      </c>
      <c r="L108" s="3"/>
      <c r="M108" s="3"/>
      <c r="N108" s="3" t="b">
        <v>0</v>
      </c>
      <c r="O108" s="3"/>
      <c r="P108" s="3">
        <v>40</v>
      </c>
      <c r="Q108" s="3"/>
      <c r="R108" s="3" t="s">
        <v>1181</v>
      </c>
      <c r="S108" s="3"/>
      <c r="T108" s="3" t="s">
        <v>26</v>
      </c>
      <c r="U108" s="3" t="b">
        <v>0</v>
      </c>
      <c r="V108" s="3">
        <v>0.60000002384185802</v>
      </c>
      <c r="W108" s="3" t="str">
        <f t="shared" si="3"/>
        <v/>
      </c>
      <c r="X108" s="3">
        <v>9</v>
      </c>
      <c r="Y108" s="3">
        <v>0.88999998569488503</v>
      </c>
      <c r="Z108" s="3"/>
      <c r="AA108" s="3" t="str">
        <f t="shared" si="5"/>
        <v>Species</v>
      </c>
      <c r="AB108" s="3" t="s">
        <v>1183</v>
      </c>
      <c r="AC108" s="3" t="s">
        <v>1183</v>
      </c>
      <c r="AD108" s="3" t="s">
        <v>1183</v>
      </c>
      <c r="AE108" s="3" t="s">
        <v>1183</v>
      </c>
      <c r="AF108" s="5" t="s">
        <v>1183</v>
      </c>
      <c r="AG108" s="3" t="s">
        <v>1183</v>
      </c>
      <c r="AH108" s="3" t="s">
        <v>1183</v>
      </c>
      <c r="AI108" s="3" t="s">
        <v>1183</v>
      </c>
      <c r="AJ108" s="3" t="s">
        <v>1183</v>
      </c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6" t="e">
        <v>#NUM!</v>
      </c>
      <c r="BF108" s="6">
        <v>0</v>
      </c>
      <c r="BG108" s="6" t="e">
        <v>#NUM!</v>
      </c>
    </row>
    <row r="109" spans="1:59" ht="15.75" x14ac:dyDescent="0.25">
      <c r="A109" s="3">
        <v>290</v>
      </c>
      <c r="B109" s="3" t="s">
        <v>414</v>
      </c>
      <c r="C109" s="3" t="s">
        <v>42</v>
      </c>
      <c r="D109" s="3" t="s">
        <v>1395</v>
      </c>
      <c r="E109" s="3" t="s">
        <v>411</v>
      </c>
      <c r="F109" s="3" t="s">
        <v>1699</v>
      </c>
      <c r="G109" s="3" t="s">
        <v>415</v>
      </c>
      <c r="H109" s="6" t="s">
        <v>416</v>
      </c>
      <c r="I109" s="3"/>
      <c r="J109" s="4" t="b">
        <v>0</v>
      </c>
      <c r="K109" s="3" t="str">
        <f t="shared" si="4"/>
        <v/>
      </c>
      <c r="L109" s="3"/>
      <c r="M109" s="3"/>
      <c r="N109" s="3" t="b">
        <v>0</v>
      </c>
      <c r="O109" s="3"/>
      <c r="P109" s="3"/>
      <c r="Q109" s="3"/>
      <c r="R109" s="3" t="s">
        <v>1181</v>
      </c>
      <c r="S109" s="3"/>
      <c r="T109" s="3" t="s">
        <v>26</v>
      </c>
      <c r="U109" s="3" t="b">
        <v>0</v>
      </c>
      <c r="V109" s="3"/>
      <c r="W109" s="3" t="str">
        <f t="shared" si="3"/>
        <v/>
      </c>
      <c r="X109" s="3"/>
      <c r="Y109" s="3"/>
      <c r="Z109" s="3"/>
      <c r="AA109" s="3" t="str">
        <f t="shared" si="5"/>
        <v>Species</v>
      </c>
      <c r="AB109" s="3"/>
      <c r="AC109" s="3"/>
      <c r="AD109" s="3"/>
      <c r="AE109" s="3"/>
      <c r="AF109" s="5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6" t="e">
        <v>#NUM!</v>
      </c>
      <c r="BF109" s="6">
        <v>0</v>
      </c>
      <c r="BG109" s="6" t="e">
        <v>#NUM!</v>
      </c>
    </row>
    <row r="110" spans="1:59" ht="15.75" x14ac:dyDescent="0.25">
      <c r="A110" s="3">
        <v>104</v>
      </c>
      <c r="B110" s="3" t="s">
        <v>425</v>
      </c>
      <c r="C110" s="3" t="s">
        <v>42</v>
      </c>
      <c r="D110" s="3" t="s">
        <v>1395</v>
      </c>
      <c r="E110" s="3" t="s">
        <v>411</v>
      </c>
      <c r="F110" s="3" t="s">
        <v>1400</v>
      </c>
      <c r="G110" s="3" t="s">
        <v>426</v>
      </c>
      <c r="H110" s="3" t="s">
        <v>427</v>
      </c>
      <c r="I110" s="3"/>
      <c r="J110" s="4" t="b">
        <v>0</v>
      </c>
      <c r="K110" s="3" t="str">
        <f t="shared" si="4"/>
        <v/>
      </c>
      <c r="L110" s="3"/>
      <c r="M110" s="3"/>
      <c r="N110" s="3" t="b">
        <v>0</v>
      </c>
      <c r="O110" s="3"/>
      <c r="P110" s="3">
        <v>40</v>
      </c>
      <c r="Q110" s="3"/>
      <c r="R110" s="3" t="s">
        <v>1181</v>
      </c>
      <c r="S110" s="3" t="s">
        <v>65</v>
      </c>
      <c r="T110" s="3" t="s">
        <v>26</v>
      </c>
      <c r="U110" s="3" t="b">
        <v>0</v>
      </c>
      <c r="V110" s="3">
        <v>0.60000002384185802</v>
      </c>
      <c r="W110" s="3" t="e">
        <f t="shared" si="3"/>
        <v>#VALUE!</v>
      </c>
      <c r="X110" s="3">
        <v>9</v>
      </c>
      <c r="Y110" s="3">
        <v>0.875</v>
      </c>
      <c r="Z110" s="3"/>
      <c r="AA110" s="3" t="str">
        <f t="shared" si="5"/>
        <v>Species</v>
      </c>
      <c r="AB110" s="3" t="s">
        <v>1183</v>
      </c>
      <c r="AC110" s="3" t="s">
        <v>1183</v>
      </c>
      <c r="AD110" s="3" t="s">
        <v>1183</v>
      </c>
      <c r="AE110" s="3" t="s">
        <v>1183</v>
      </c>
      <c r="AF110" s="5" t="s">
        <v>1183</v>
      </c>
      <c r="AG110" s="3" t="s">
        <v>1183</v>
      </c>
      <c r="AH110" s="3" t="s">
        <v>1183</v>
      </c>
      <c r="AI110" s="3" t="s">
        <v>1183</v>
      </c>
      <c r="AJ110" s="3" t="s">
        <v>1183</v>
      </c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6">
        <v>26.769999999999996</v>
      </c>
      <c r="BF110" s="6">
        <v>8</v>
      </c>
      <c r="BG110" s="6">
        <v>37.9</v>
      </c>
    </row>
    <row r="111" spans="1:59" ht="15.75" x14ac:dyDescent="0.25">
      <c r="A111" s="3">
        <v>105</v>
      </c>
      <c r="B111" s="3" t="s">
        <v>431</v>
      </c>
      <c r="C111" s="3" t="s">
        <v>42</v>
      </c>
      <c r="D111" s="3" t="s">
        <v>1395</v>
      </c>
      <c r="E111" s="3" t="s">
        <v>411</v>
      </c>
      <c r="F111" s="3" t="s">
        <v>1401</v>
      </c>
      <c r="G111" s="3" t="s">
        <v>432</v>
      </c>
      <c r="H111" s="3" t="s">
        <v>1402</v>
      </c>
      <c r="I111" s="3"/>
      <c r="J111" s="4" t="s">
        <v>1188</v>
      </c>
      <c r="K111" s="3" t="str">
        <f t="shared" si="4"/>
        <v/>
      </c>
      <c r="L111" s="3"/>
      <c r="M111" s="3"/>
      <c r="N111" s="3" t="b">
        <v>0</v>
      </c>
      <c r="O111" s="3"/>
      <c r="P111" s="3">
        <v>40</v>
      </c>
      <c r="Q111" s="3"/>
      <c r="R111" s="3" t="s">
        <v>1181</v>
      </c>
      <c r="S111" s="3"/>
      <c r="T111" s="3" t="s">
        <v>26</v>
      </c>
      <c r="U111" s="3"/>
      <c r="V111" s="3"/>
      <c r="W111" s="3" t="str">
        <f t="shared" si="3"/>
        <v/>
      </c>
      <c r="X111" s="3">
        <v>9</v>
      </c>
      <c r="Y111" s="3">
        <v>0.875</v>
      </c>
      <c r="Z111" s="3"/>
      <c r="AA111" s="3" t="str">
        <f t="shared" si="5"/>
        <v>Genus</v>
      </c>
      <c r="AB111" s="3" t="s">
        <v>1183</v>
      </c>
      <c r="AC111" s="3" t="s">
        <v>1183</v>
      </c>
      <c r="AD111" s="3" t="s">
        <v>1183</v>
      </c>
      <c r="AE111" s="3" t="s">
        <v>1183</v>
      </c>
      <c r="AF111" s="5"/>
      <c r="AG111" s="3" t="s">
        <v>1183</v>
      </c>
      <c r="AH111" s="3" t="s">
        <v>1183</v>
      </c>
      <c r="AI111" s="3" t="s">
        <v>1183</v>
      </c>
      <c r="AJ111" s="3" t="s">
        <v>1183</v>
      </c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6">
        <v>37</v>
      </c>
      <c r="BF111" s="6">
        <v>288</v>
      </c>
      <c r="BG111" s="6">
        <v>64</v>
      </c>
    </row>
    <row r="112" spans="1:59" ht="15.75" x14ac:dyDescent="0.25">
      <c r="A112" s="3">
        <v>106</v>
      </c>
      <c r="B112" s="3" t="s">
        <v>434</v>
      </c>
      <c r="C112" s="3" t="s">
        <v>17</v>
      </c>
      <c r="D112" s="3" t="s">
        <v>1403</v>
      </c>
      <c r="E112" s="3" t="s">
        <v>435</v>
      </c>
      <c r="F112" s="3" t="s">
        <v>1404</v>
      </c>
      <c r="G112" s="3" t="s">
        <v>436</v>
      </c>
      <c r="H112" s="3" t="s">
        <v>437</v>
      </c>
      <c r="I112" s="3"/>
      <c r="J112" s="4" t="b">
        <v>1</v>
      </c>
      <c r="K112" s="3">
        <f t="shared" si="4"/>
        <v>30</v>
      </c>
      <c r="L112" s="3"/>
      <c r="M112" s="3"/>
      <c r="N112" s="3" t="b">
        <v>0</v>
      </c>
      <c r="O112" s="3"/>
      <c r="P112" s="3">
        <v>40</v>
      </c>
      <c r="Q112" s="3"/>
      <c r="R112" s="3" t="s">
        <v>1181</v>
      </c>
      <c r="S112" s="3" t="s">
        <v>438</v>
      </c>
      <c r="T112" s="3" t="s">
        <v>26</v>
      </c>
      <c r="U112" s="3" t="b">
        <v>0</v>
      </c>
      <c r="V112" s="3">
        <v>0.80000001192092896</v>
      </c>
      <c r="W112" s="3" t="e">
        <f t="shared" si="3"/>
        <v>#VALUE!</v>
      </c>
      <c r="X112" s="3">
        <v>9</v>
      </c>
      <c r="Y112" s="3">
        <v>0.79000002145767201</v>
      </c>
      <c r="Z112" s="3"/>
      <c r="AA112" s="3" t="str">
        <f t="shared" si="5"/>
        <v>Species</v>
      </c>
      <c r="AB112" s="3" t="s">
        <v>1183</v>
      </c>
      <c r="AC112" s="3" t="s">
        <v>1183</v>
      </c>
      <c r="AD112" s="3" t="s">
        <v>1183</v>
      </c>
      <c r="AE112" s="3" t="s">
        <v>1183</v>
      </c>
      <c r="AF112" s="5">
        <v>30</v>
      </c>
      <c r="AG112" s="3" t="s">
        <v>1183</v>
      </c>
      <c r="AH112" s="3" t="s">
        <v>1183</v>
      </c>
      <c r="AI112" s="3" t="s">
        <v>1183</v>
      </c>
      <c r="AJ112" s="3" t="s">
        <v>1183</v>
      </c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6">
        <v>28.250000000000004</v>
      </c>
      <c r="BF112" s="6">
        <v>14</v>
      </c>
      <c r="BG112" s="6">
        <v>45</v>
      </c>
    </row>
    <row r="113" spans="1:59" ht="15.75" x14ac:dyDescent="0.25">
      <c r="A113" s="3">
        <v>107</v>
      </c>
      <c r="B113" s="3" t="s">
        <v>439</v>
      </c>
      <c r="C113" s="3" t="s">
        <v>17</v>
      </c>
      <c r="D113" s="3" t="s">
        <v>1403</v>
      </c>
      <c r="E113" s="3" t="s">
        <v>435</v>
      </c>
      <c r="F113" s="3" t="s">
        <v>1405</v>
      </c>
      <c r="G113" s="3" t="s">
        <v>440</v>
      </c>
      <c r="H113" s="3" t="s">
        <v>441</v>
      </c>
      <c r="I113" s="3"/>
      <c r="J113" s="4" t="b">
        <v>0</v>
      </c>
      <c r="K113" s="3">
        <f t="shared" si="4"/>
        <v>30</v>
      </c>
      <c r="L113" s="3"/>
      <c r="M113" s="3"/>
      <c r="N113" s="3" t="b">
        <v>0</v>
      </c>
      <c r="O113" s="3"/>
      <c r="P113" s="3">
        <v>40</v>
      </c>
      <c r="Q113" s="3"/>
      <c r="R113" s="3" t="s">
        <v>1181</v>
      </c>
      <c r="S113" s="3" t="s">
        <v>442</v>
      </c>
      <c r="T113" s="3" t="s">
        <v>26</v>
      </c>
      <c r="U113" s="3" t="b">
        <v>0</v>
      </c>
      <c r="V113" s="3">
        <v>0.75</v>
      </c>
      <c r="W113" s="3" t="e">
        <f t="shared" si="3"/>
        <v>#VALUE!</v>
      </c>
      <c r="X113" s="3">
        <v>9</v>
      </c>
      <c r="Y113" s="3">
        <v>0.79000002145767201</v>
      </c>
      <c r="Z113" s="3"/>
      <c r="AA113" s="3" t="str">
        <f t="shared" si="5"/>
        <v>Species</v>
      </c>
      <c r="AB113" s="3" t="s">
        <v>1183</v>
      </c>
      <c r="AC113" s="3" t="s">
        <v>1183</v>
      </c>
      <c r="AD113" s="3" t="s">
        <v>1183</v>
      </c>
      <c r="AE113" s="3" t="s">
        <v>1183</v>
      </c>
      <c r="AF113" s="5">
        <v>30</v>
      </c>
      <c r="AG113" s="3" t="s">
        <v>1183</v>
      </c>
      <c r="AH113" s="3" t="s">
        <v>1183</v>
      </c>
      <c r="AI113" s="3" t="s">
        <v>1183</v>
      </c>
      <c r="AJ113" s="3" t="s">
        <v>1183</v>
      </c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6">
        <v>31.300000000000068</v>
      </c>
      <c r="BF113" s="6">
        <v>658</v>
      </c>
      <c r="BG113" s="6">
        <v>69</v>
      </c>
    </row>
    <row r="114" spans="1:59" ht="15.75" x14ac:dyDescent="0.25">
      <c r="A114" s="3">
        <v>108</v>
      </c>
      <c r="B114" s="3" t="s">
        <v>1104</v>
      </c>
      <c r="C114" s="3" t="s">
        <v>1007</v>
      </c>
      <c r="D114" s="3" t="s">
        <v>1406</v>
      </c>
      <c r="E114" s="3" t="s">
        <v>1105</v>
      </c>
      <c r="F114" s="3" t="s">
        <v>1407</v>
      </c>
      <c r="G114" s="3" t="s">
        <v>1105</v>
      </c>
      <c r="H114" s="3" t="s">
        <v>1106</v>
      </c>
      <c r="I114" s="3"/>
      <c r="J114" s="4" t="b">
        <v>1</v>
      </c>
      <c r="K114" s="3">
        <f t="shared" si="4"/>
        <v>15</v>
      </c>
      <c r="L114" s="3"/>
      <c r="M114" s="3"/>
      <c r="N114" s="3" t="b">
        <v>0</v>
      </c>
      <c r="O114" s="3"/>
      <c r="P114" s="3">
        <v>40</v>
      </c>
      <c r="Q114" s="3"/>
      <c r="R114" s="3" t="s">
        <v>1181</v>
      </c>
      <c r="S114" s="3" t="s">
        <v>264</v>
      </c>
      <c r="T114" s="3" t="s">
        <v>26</v>
      </c>
      <c r="U114" s="3" t="b">
        <v>0</v>
      </c>
      <c r="V114" s="3">
        <v>0.69999998807907104</v>
      </c>
      <c r="W114" s="3" t="e">
        <f t="shared" si="3"/>
        <v>#VALUE!</v>
      </c>
      <c r="X114" s="3">
        <v>9</v>
      </c>
      <c r="Y114" s="3">
        <v>0.79000002145767201</v>
      </c>
      <c r="Z114" s="3"/>
      <c r="AA114" s="3" t="str">
        <f t="shared" si="5"/>
        <v>Species</v>
      </c>
      <c r="AB114" s="3">
        <v>15</v>
      </c>
      <c r="AC114" s="3">
        <v>15</v>
      </c>
      <c r="AD114" s="3" t="s">
        <v>1208</v>
      </c>
      <c r="AE114" s="3">
        <v>15</v>
      </c>
      <c r="AF114" s="5">
        <v>15</v>
      </c>
      <c r="AG114" s="3" t="s">
        <v>1183</v>
      </c>
      <c r="AH114" s="3" t="s">
        <v>1183</v>
      </c>
      <c r="AI114" s="3" t="s">
        <v>1183</v>
      </c>
      <c r="AJ114" s="3" t="s">
        <v>1183</v>
      </c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6">
        <v>10.800000000000004</v>
      </c>
      <c r="BF114" s="6">
        <v>22</v>
      </c>
      <c r="BG114" s="6">
        <v>15</v>
      </c>
    </row>
    <row r="115" spans="1:59" ht="15.75" x14ac:dyDescent="0.25">
      <c r="A115" s="3">
        <v>109</v>
      </c>
      <c r="B115" s="3" t="s">
        <v>1408</v>
      </c>
      <c r="C115" s="3" t="s">
        <v>443</v>
      </c>
      <c r="D115" s="3" t="s">
        <v>443</v>
      </c>
      <c r="E115" s="3" t="s">
        <v>443</v>
      </c>
      <c r="F115" s="3" t="s">
        <v>443</v>
      </c>
      <c r="G115" s="3" t="s">
        <v>443</v>
      </c>
      <c r="H115" s="3" t="s">
        <v>443</v>
      </c>
      <c r="I115" s="3"/>
      <c r="J115" s="4" t="s">
        <v>1188</v>
      </c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 t="b">
        <v>0</v>
      </c>
      <c r="V115" s="3"/>
      <c r="W115" s="3" t="str">
        <f t="shared" si="3"/>
        <v/>
      </c>
      <c r="X115" s="3"/>
      <c r="Y115" s="3"/>
      <c r="Z115" s="3"/>
      <c r="AA115" s="3" t="s">
        <v>1329</v>
      </c>
      <c r="AB115" s="3"/>
      <c r="AC115" s="3" t="s">
        <v>1183</v>
      </c>
      <c r="AD115" s="3" t="s">
        <v>1183</v>
      </c>
      <c r="AE115" s="3" t="s">
        <v>1183</v>
      </c>
      <c r="AF115" s="5" t="s">
        <v>1183</v>
      </c>
      <c r="AG115" s="3" t="s">
        <v>1183</v>
      </c>
      <c r="AH115" s="3" t="s">
        <v>1183</v>
      </c>
      <c r="AI115" s="3" t="s">
        <v>1183</v>
      </c>
      <c r="AJ115" s="3" t="s">
        <v>1183</v>
      </c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6"/>
      <c r="BF115" s="6"/>
      <c r="BG115" s="6"/>
    </row>
    <row r="116" spans="1:59" ht="15.75" x14ac:dyDescent="0.25">
      <c r="A116" s="3">
        <v>110</v>
      </c>
      <c r="B116" s="3" t="s">
        <v>444</v>
      </c>
      <c r="C116" s="3" t="s">
        <v>321</v>
      </c>
      <c r="D116" s="3" t="s">
        <v>1409</v>
      </c>
      <c r="E116" s="3" t="s">
        <v>445</v>
      </c>
      <c r="F116" s="3" t="s">
        <v>1410</v>
      </c>
      <c r="G116" s="3" t="s">
        <v>446</v>
      </c>
      <c r="H116" s="3" t="s">
        <v>447</v>
      </c>
      <c r="I116" s="3"/>
      <c r="J116" s="4" t="b">
        <v>1</v>
      </c>
      <c r="K116" s="3">
        <f t="shared" si="4"/>
        <v>100</v>
      </c>
      <c r="L116" s="3"/>
      <c r="M116" s="3"/>
      <c r="N116" s="3" t="b">
        <v>1</v>
      </c>
      <c r="O116" s="3"/>
      <c r="P116" s="3">
        <v>66.900001525878906</v>
      </c>
      <c r="Q116" s="3" t="s">
        <v>1411</v>
      </c>
      <c r="R116" s="3" t="s">
        <v>1276</v>
      </c>
      <c r="S116" s="3" t="s">
        <v>448</v>
      </c>
      <c r="T116" s="3" t="s">
        <v>26</v>
      </c>
      <c r="U116" s="3" t="b">
        <v>0</v>
      </c>
      <c r="V116" s="3">
        <v>0.68999999761581399</v>
      </c>
      <c r="W116" s="3" t="e">
        <f t="shared" si="3"/>
        <v>#VALUE!</v>
      </c>
      <c r="X116" s="3">
        <v>9</v>
      </c>
      <c r="Y116" s="3">
        <v>0.79000002145767201</v>
      </c>
      <c r="Z116" s="3"/>
      <c r="AA116" s="3" t="str">
        <f t="shared" si="5"/>
        <v>Species</v>
      </c>
      <c r="AB116" s="3">
        <v>100</v>
      </c>
      <c r="AC116" s="3" t="s">
        <v>1183</v>
      </c>
      <c r="AD116" s="3" t="s">
        <v>1183</v>
      </c>
      <c r="AE116" s="3">
        <v>100</v>
      </c>
      <c r="AF116" s="5">
        <v>100</v>
      </c>
      <c r="AG116" s="3" t="s">
        <v>1183</v>
      </c>
      <c r="AH116" s="3" t="s">
        <v>1183</v>
      </c>
      <c r="AI116" s="3" t="s">
        <v>1183</v>
      </c>
      <c r="AJ116" s="3" t="s">
        <v>1183</v>
      </c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6">
        <v>32</v>
      </c>
      <c r="BF116" s="6">
        <v>194</v>
      </c>
      <c r="BG116" s="6">
        <v>56</v>
      </c>
    </row>
    <row r="117" spans="1:59" ht="15.75" x14ac:dyDescent="0.25">
      <c r="A117" s="3">
        <v>111</v>
      </c>
      <c r="B117" s="3" t="s">
        <v>449</v>
      </c>
      <c r="C117" s="3" t="s">
        <v>450</v>
      </c>
      <c r="D117" s="3" t="s">
        <v>1412</v>
      </c>
      <c r="E117" s="3" t="s">
        <v>451</v>
      </c>
      <c r="F117" s="3" t="s">
        <v>1413</v>
      </c>
      <c r="G117" s="3" t="s">
        <v>452</v>
      </c>
      <c r="H117" s="3" t="s">
        <v>453</v>
      </c>
      <c r="I117" s="3"/>
      <c r="J117" s="4" t="b">
        <v>1</v>
      </c>
      <c r="K117" s="3">
        <f t="shared" si="4"/>
        <v>50</v>
      </c>
      <c r="L117" s="3"/>
      <c r="M117" s="3"/>
      <c r="N117" s="3" t="b">
        <v>0</v>
      </c>
      <c r="O117" s="3"/>
      <c r="P117" s="3">
        <v>45.299999237060497</v>
      </c>
      <c r="Q117" s="3" t="s">
        <v>1252</v>
      </c>
      <c r="R117" s="3" t="s">
        <v>1181</v>
      </c>
      <c r="S117" s="3" t="s">
        <v>454</v>
      </c>
      <c r="T117" s="3" t="s">
        <v>26</v>
      </c>
      <c r="U117" s="3" t="b">
        <v>0</v>
      </c>
      <c r="V117" s="3">
        <v>0.75</v>
      </c>
      <c r="W117" s="3" t="e">
        <f t="shared" si="3"/>
        <v>#VALUE!</v>
      </c>
      <c r="X117" s="3">
        <v>9</v>
      </c>
      <c r="Y117" s="3">
        <v>0.769999980926514</v>
      </c>
      <c r="Z117" s="3"/>
      <c r="AA117" s="3" t="str">
        <f t="shared" si="5"/>
        <v>Species</v>
      </c>
      <c r="AB117" s="3">
        <v>50</v>
      </c>
      <c r="AC117" s="3" t="s">
        <v>1183</v>
      </c>
      <c r="AD117" s="3" t="s">
        <v>1183</v>
      </c>
      <c r="AE117" s="3">
        <v>50</v>
      </c>
      <c r="AF117" s="5">
        <v>50</v>
      </c>
      <c r="AG117" s="3" t="s">
        <v>1183</v>
      </c>
      <c r="AH117" s="3" t="s">
        <v>1183</v>
      </c>
      <c r="AI117" s="3" t="s">
        <v>1183</v>
      </c>
      <c r="AJ117" s="3" t="s">
        <v>1183</v>
      </c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6">
        <v>54.900000000000006</v>
      </c>
      <c r="BF117" s="6">
        <v>102</v>
      </c>
      <c r="BG117" s="6">
        <v>102</v>
      </c>
    </row>
    <row r="118" spans="1:59" ht="15.75" x14ac:dyDescent="0.25">
      <c r="A118" s="3">
        <v>112</v>
      </c>
      <c r="B118" s="3" t="s">
        <v>455</v>
      </c>
      <c r="C118" s="3" t="s">
        <v>450</v>
      </c>
      <c r="D118" s="3" t="s">
        <v>1412</v>
      </c>
      <c r="E118" s="3" t="s">
        <v>451</v>
      </c>
      <c r="F118" s="3" t="s">
        <v>1414</v>
      </c>
      <c r="G118" s="3" t="s">
        <v>456</v>
      </c>
      <c r="H118" s="3" t="s">
        <v>457</v>
      </c>
      <c r="I118" s="3"/>
      <c r="J118" s="4" t="b">
        <v>1</v>
      </c>
      <c r="K118" s="3">
        <f t="shared" si="4"/>
        <v>50</v>
      </c>
      <c r="L118" s="3"/>
      <c r="M118" s="3"/>
      <c r="N118" s="3" t="b">
        <v>0</v>
      </c>
      <c r="O118" s="3"/>
      <c r="P118" s="3">
        <v>43.5</v>
      </c>
      <c r="Q118" s="3" t="s">
        <v>1213</v>
      </c>
      <c r="R118" s="3" t="s">
        <v>1181</v>
      </c>
      <c r="S118" s="3" t="s">
        <v>458</v>
      </c>
      <c r="T118" s="3" t="s">
        <v>26</v>
      </c>
      <c r="U118" s="3" t="b">
        <v>0</v>
      </c>
      <c r="V118" s="3">
        <v>0.75</v>
      </c>
      <c r="W118" s="3" t="e">
        <f t="shared" si="3"/>
        <v>#VALUE!</v>
      </c>
      <c r="X118" s="3">
        <v>9</v>
      </c>
      <c r="Y118" s="3">
        <v>0.769999980926514</v>
      </c>
      <c r="Z118" s="3"/>
      <c r="AA118" s="3" t="str">
        <f t="shared" si="5"/>
        <v>Species</v>
      </c>
      <c r="AB118" s="3">
        <v>50</v>
      </c>
      <c r="AC118" s="3" t="s">
        <v>1183</v>
      </c>
      <c r="AD118" s="3" t="s">
        <v>1183</v>
      </c>
      <c r="AE118" s="3">
        <v>50</v>
      </c>
      <c r="AF118" s="5">
        <v>50</v>
      </c>
      <c r="AG118" s="3" t="s">
        <v>1183</v>
      </c>
      <c r="AH118" s="3" t="s">
        <v>1183</v>
      </c>
      <c r="AI118" s="3" t="s">
        <v>1183</v>
      </c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6">
        <v>54</v>
      </c>
      <c r="BF118" s="6">
        <v>15</v>
      </c>
      <c r="BG118" s="6">
        <v>79</v>
      </c>
    </row>
    <row r="119" spans="1:59" ht="15.75" x14ac:dyDescent="0.25">
      <c r="A119" s="3">
        <v>113</v>
      </c>
      <c r="B119" s="3" t="s">
        <v>463</v>
      </c>
      <c r="C119" s="3" t="s">
        <v>450</v>
      </c>
      <c r="D119" s="3" t="s">
        <v>1412</v>
      </c>
      <c r="E119" s="3" t="s">
        <v>451</v>
      </c>
      <c r="F119" s="3" t="s">
        <v>1415</v>
      </c>
      <c r="G119" s="3" t="s">
        <v>464</v>
      </c>
      <c r="H119" s="3" t="s">
        <v>465</v>
      </c>
      <c r="I119" s="3"/>
      <c r="J119" s="4" t="b">
        <v>1</v>
      </c>
      <c r="K119" s="3">
        <f t="shared" si="4"/>
        <v>60</v>
      </c>
      <c r="L119" s="3"/>
      <c r="M119" s="3"/>
      <c r="N119" s="3" t="b">
        <v>0</v>
      </c>
      <c r="O119" s="3"/>
      <c r="P119" s="3">
        <v>48.299999237060497</v>
      </c>
      <c r="Q119" s="3" t="s">
        <v>1213</v>
      </c>
      <c r="R119" s="3" t="s">
        <v>1181</v>
      </c>
      <c r="S119" s="3" t="s">
        <v>466</v>
      </c>
      <c r="T119" s="3" t="s">
        <v>26</v>
      </c>
      <c r="U119" s="3" t="b">
        <v>0</v>
      </c>
      <c r="V119" s="3">
        <v>0.75</v>
      </c>
      <c r="W119" s="3" t="e">
        <f t="shared" si="3"/>
        <v>#VALUE!</v>
      </c>
      <c r="X119" s="3">
        <v>9</v>
      </c>
      <c r="Y119" s="3">
        <v>0.769999980926514</v>
      </c>
      <c r="Z119" s="3"/>
      <c r="AA119" s="3" t="str">
        <f t="shared" si="5"/>
        <v>Species</v>
      </c>
      <c r="AB119" s="3">
        <v>60</v>
      </c>
      <c r="AC119" s="3">
        <v>60</v>
      </c>
      <c r="AD119" s="3" t="s">
        <v>1208</v>
      </c>
      <c r="AE119" s="3">
        <v>60</v>
      </c>
      <c r="AF119" s="5">
        <v>60</v>
      </c>
      <c r="AG119" s="3" t="s">
        <v>1183</v>
      </c>
      <c r="AH119" s="3" t="s">
        <v>1183</v>
      </c>
      <c r="AI119" s="3" t="s">
        <v>1183</v>
      </c>
      <c r="AJ119" s="3" t="s">
        <v>1183</v>
      </c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6">
        <v>48</v>
      </c>
      <c r="BF119" s="6">
        <v>148</v>
      </c>
      <c r="BG119" s="6">
        <v>90</v>
      </c>
    </row>
    <row r="120" spans="1:59" ht="15.75" x14ac:dyDescent="0.25">
      <c r="A120" s="3">
        <v>114</v>
      </c>
      <c r="B120" s="3" t="s">
        <v>459</v>
      </c>
      <c r="C120" s="3" t="s">
        <v>450</v>
      </c>
      <c r="D120" s="3" t="s">
        <v>1412</v>
      </c>
      <c r="E120" s="3" t="s">
        <v>451</v>
      </c>
      <c r="F120" s="3" t="s">
        <v>1416</v>
      </c>
      <c r="G120" s="3" t="s">
        <v>460</v>
      </c>
      <c r="H120" s="3" t="s">
        <v>461</v>
      </c>
      <c r="I120" s="3"/>
      <c r="J120" s="4" t="b">
        <v>1</v>
      </c>
      <c r="K120" s="3">
        <f t="shared" si="4"/>
        <v>90</v>
      </c>
      <c r="L120" s="3"/>
      <c r="M120" s="3"/>
      <c r="N120" s="3" t="b">
        <v>0</v>
      </c>
      <c r="O120" s="3"/>
      <c r="P120" s="3">
        <v>43.200000762939503</v>
      </c>
      <c r="Q120" s="3" t="s">
        <v>1213</v>
      </c>
      <c r="R120" s="3" t="s">
        <v>1181</v>
      </c>
      <c r="S120" s="3" t="s">
        <v>462</v>
      </c>
      <c r="T120" s="3" t="s">
        <v>26</v>
      </c>
      <c r="U120" s="3" t="b">
        <v>0</v>
      </c>
      <c r="V120" s="3">
        <v>0.75</v>
      </c>
      <c r="W120" s="3" t="e">
        <f t="shared" si="3"/>
        <v>#VALUE!</v>
      </c>
      <c r="X120" s="3">
        <v>9</v>
      </c>
      <c r="Y120" s="3">
        <v>0.769999980926514</v>
      </c>
      <c r="Z120" s="3"/>
      <c r="AA120" s="3" t="str">
        <f t="shared" si="5"/>
        <v>Species</v>
      </c>
      <c r="AB120" s="3">
        <v>90</v>
      </c>
      <c r="AC120" s="3" t="s">
        <v>1183</v>
      </c>
      <c r="AD120" s="3" t="s">
        <v>1183</v>
      </c>
      <c r="AE120" s="3">
        <v>90</v>
      </c>
      <c r="AF120" s="5">
        <v>90</v>
      </c>
      <c r="AG120" s="3" t="s">
        <v>1183</v>
      </c>
      <c r="AH120" s="3" t="s">
        <v>1183</v>
      </c>
      <c r="AI120" s="3" t="s">
        <v>1183</v>
      </c>
      <c r="AJ120" s="3" t="s">
        <v>1183</v>
      </c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6" t="e">
        <v>#NUM!</v>
      </c>
      <c r="BF120" s="6">
        <v>0</v>
      </c>
      <c r="BG120" s="6" t="e">
        <v>#NUM!</v>
      </c>
    </row>
    <row r="121" spans="1:59" ht="15.75" x14ac:dyDescent="0.25">
      <c r="A121" s="3">
        <v>115</v>
      </c>
      <c r="B121" s="3" t="s">
        <v>467</v>
      </c>
      <c r="C121" s="3" t="s">
        <v>450</v>
      </c>
      <c r="D121" s="3" t="s">
        <v>1412</v>
      </c>
      <c r="E121" s="3" t="s">
        <v>451</v>
      </c>
      <c r="F121" s="3" t="s">
        <v>1417</v>
      </c>
      <c r="G121" s="3" t="s">
        <v>468</v>
      </c>
      <c r="H121" s="3" t="s">
        <v>1418</v>
      </c>
      <c r="I121" s="3"/>
      <c r="J121" s="4" t="s">
        <v>1188</v>
      </c>
      <c r="K121" s="3" t="str">
        <f t="shared" si="4"/>
        <v/>
      </c>
      <c r="L121" s="3"/>
      <c r="M121" s="3"/>
      <c r="N121" s="3" t="b">
        <v>0</v>
      </c>
      <c r="O121" s="3"/>
      <c r="P121" s="3">
        <v>40</v>
      </c>
      <c r="Q121" s="3"/>
      <c r="R121" s="3" t="s">
        <v>1181</v>
      </c>
      <c r="S121" s="3"/>
      <c r="T121" s="3" t="s">
        <v>26</v>
      </c>
      <c r="U121" s="3"/>
      <c r="V121" s="3"/>
      <c r="W121" s="3" t="str">
        <f t="shared" si="3"/>
        <v/>
      </c>
      <c r="X121" s="3">
        <v>9</v>
      </c>
      <c r="Y121" s="3">
        <v>0.769999980926514</v>
      </c>
      <c r="Z121" s="3"/>
      <c r="AA121" s="3" t="str">
        <f t="shared" si="5"/>
        <v>Genus</v>
      </c>
      <c r="AB121" s="3" t="s">
        <v>1183</v>
      </c>
      <c r="AC121" s="3" t="s">
        <v>1183</v>
      </c>
      <c r="AD121" s="3" t="s">
        <v>1183</v>
      </c>
      <c r="AE121" s="3" t="s">
        <v>1183</v>
      </c>
      <c r="AF121" s="5"/>
      <c r="AG121" s="3" t="s">
        <v>1183</v>
      </c>
      <c r="AH121" s="3" t="s">
        <v>1183</v>
      </c>
      <c r="AI121" s="3" t="s">
        <v>1183</v>
      </c>
      <c r="AJ121" s="3" t="s">
        <v>1183</v>
      </c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6">
        <v>29.099999999999998</v>
      </c>
      <c r="BF121" s="6">
        <v>34</v>
      </c>
      <c r="BG121" s="6">
        <v>71</v>
      </c>
    </row>
    <row r="122" spans="1:59" ht="15.75" x14ac:dyDescent="0.25">
      <c r="A122" s="3">
        <v>116</v>
      </c>
      <c r="B122" s="3" t="s">
        <v>470</v>
      </c>
      <c r="C122" s="3" t="s">
        <v>471</v>
      </c>
      <c r="D122" s="3" t="s">
        <v>1419</v>
      </c>
      <c r="E122" s="3" t="s">
        <v>470</v>
      </c>
      <c r="F122" s="3" t="s">
        <v>1691</v>
      </c>
      <c r="G122" s="3" t="s">
        <v>470</v>
      </c>
      <c r="H122" s="3" t="s">
        <v>472</v>
      </c>
      <c r="I122" s="3"/>
      <c r="J122" s="4" t="s">
        <v>1188</v>
      </c>
      <c r="K122" s="3" t="str">
        <f t="shared" si="4"/>
        <v/>
      </c>
      <c r="L122" s="3"/>
      <c r="M122" s="3"/>
      <c r="N122" s="3" t="b">
        <v>0</v>
      </c>
      <c r="O122" s="3"/>
      <c r="P122" s="3"/>
      <c r="Q122" s="3"/>
      <c r="R122" s="3"/>
      <c r="S122" s="3"/>
      <c r="T122" s="3" t="s">
        <v>26</v>
      </c>
      <c r="U122" s="3" t="b">
        <v>0</v>
      </c>
      <c r="V122" s="3"/>
      <c r="W122" s="3" t="str">
        <f t="shared" si="3"/>
        <v/>
      </c>
      <c r="X122" s="3"/>
      <c r="Y122" s="3"/>
      <c r="Z122" s="3"/>
      <c r="AA122" s="3" t="str">
        <f t="shared" si="5"/>
        <v>Species</v>
      </c>
      <c r="AB122" s="3" t="s">
        <v>1183</v>
      </c>
      <c r="AC122" s="3" t="s">
        <v>1183</v>
      </c>
      <c r="AD122" s="3" t="s">
        <v>1183</v>
      </c>
      <c r="AE122" s="3" t="s">
        <v>1183</v>
      </c>
      <c r="AF122" s="5" t="s">
        <v>1183</v>
      </c>
      <c r="AG122" s="3" t="s">
        <v>1183</v>
      </c>
      <c r="AH122" s="3" t="s">
        <v>1183</v>
      </c>
      <c r="AI122" s="3" t="s">
        <v>1183</v>
      </c>
      <c r="AJ122" s="3" t="s">
        <v>1183</v>
      </c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6" t="e">
        <v>#NUM!</v>
      </c>
      <c r="BF122" s="6">
        <v>0</v>
      </c>
      <c r="BG122" s="6" t="e">
        <v>#NUM!</v>
      </c>
    </row>
    <row r="123" spans="1:59" ht="15.75" x14ac:dyDescent="0.25">
      <c r="A123" s="3">
        <v>300</v>
      </c>
      <c r="B123" s="3" t="s">
        <v>476</v>
      </c>
      <c r="C123" s="3" t="s">
        <v>477</v>
      </c>
      <c r="D123" s="3" t="s">
        <v>1420</v>
      </c>
      <c r="E123" s="3" t="s">
        <v>478</v>
      </c>
      <c r="F123" s="3" t="s">
        <v>1700</v>
      </c>
      <c r="G123" s="3" t="s">
        <v>479</v>
      </c>
      <c r="H123" s="3" t="s">
        <v>480</v>
      </c>
      <c r="I123" s="3"/>
      <c r="J123" s="4" t="b">
        <v>1</v>
      </c>
      <c r="K123" s="3" t="str">
        <f t="shared" si="4"/>
        <v/>
      </c>
      <c r="L123" s="3"/>
      <c r="M123" s="3"/>
      <c r="N123" s="3" t="b">
        <v>0</v>
      </c>
      <c r="O123" s="3"/>
      <c r="P123" s="3"/>
      <c r="Q123" s="3"/>
      <c r="R123" s="3" t="s">
        <v>1181</v>
      </c>
      <c r="S123" s="3"/>
      <c r="T123" s="3" t="s">
        <v>26</v>
      </c>
      <c r="U123" s="3" t="b">
        <v>0</v>
      </c>
      <c r="V123" s="3"/>
      <c r="W123" s="3" t="str">
        <f t="shared" si="3"/>
        <v/>
      </c>
      <c r="X123" s="3"/>
      <c r="Y123" s="3"/>
      <c r="Z123" s="3"/>
      <c r="AA123" s="3" t="str">
        <f t="shared" si="5"/>
        <v>Species</v>
      </c>
      <c r="AB123" s="3"/>
      <c r="AC123" s="3"/>
      <c r="AD123" s="3"/>
      <c r="AE123" s="3"/>
      <c r="AF123" s="5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6" t="e">
        <v>#NUM!</v>
      </c>
      <c r="BF123" s="6">
        <v>0</v>
      </c>
      <c r="BG123" s="6" t="e">
        <v>#NUM!</v>
      </c>
    </row>
    <row r="124" spans="1:59" ht="15.75" x14ac:dyDescent="0.25">
      <c r="A124" s="3">
        <v>117</v>
      </c>
      <c r="B124" s="3" t="s">
        <v>584</v>
      </c>
      <c r="C124" s="3" t="s">
        <v>477</v>
      </c>
      <c r="D124" s="3" t="s">
        <v>1420</v>
      </c>
      <c r="E124" s="3" t="s">
        <v>585</v>
      </c>
      <c r="F124" s="3" t="s">
        <v>1692</v>
      </c>
      <c r="G124" s="3" t="s">
        <v>586</v>
      </c>
      <c r="H124" s="3" t="s">
        <v>587</v>
      </c>
      <c r="I124" s="3"/>
      <c r="J124" s="4" t="s">
        <v>1188</v>
      </c>
      <c r="K124" s="3" t="str">
        <f t="shared" si="4"/>
        <v/>
      </c>
      <c r="L124" s="3"/>
      <c r="M124" s="3"/>
      <c r="N124" s="3" t="b">
        <v>0</v>
      </c>
      <c r="O124" s="3"/>
      <c r="P124" s="3"/>
      <c r="Q124" s="3"/>
      <c r="R124" s="3" t="s">
        <v>1181</v>
      </c>
      <c r="S124" s="3"/>
      <c r="T124" s="3" t="s">
        <v>26</v>
      </c>
      <c r="U124" s="3"/>
      <c r="V124" s="3"/>
      <c r="W124" s="3" t="str">
        <f t="shared" si="3"/>
        <v/>
      </c>
      <c r="X124" s="3"/>
      <c r="Y124" s="3"/>
      <c r="Z124" s="3"/>
      <c r="AA124" s="3" t="str">
        <f t="shared" si="5"/>
        <v>Genus</v>
      </c>
      <c r="AB124" s="3" t="s">
        <v>1183</v>
      </c>
      <c r="AC124" s="3" t="s">
        <v>1183</v>
      </c>
      <c r="AD124" s="3" t="s">
        <v>1183</v>
      </c>
      <c r="AE124" s="3" t="s">
        <v>1183</v>
      </c>
      <c r="AF124" s="5"/>
      <c r="AG124" s="3" t="s">
        <v>1183</v>
      </c>
      <c r="AH124" s="3" t="s">
        <v>1183</v>
      </c>
      <c r="AI124" s="3" t="s">
        <v>1183</v>
      </c>
      <c r="AJ124" s="3" t="s">
        <v>1183</v>
      </c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6" t="e">
        <v>#NUM!</v>
      </c>
      <c r="BF124" s="6">
        <v>0</v>
      </c>
      <c r="BG124" s="6" t="e">
        <v>#NUM!</v>
      </c>
    </row>
    <row r="125" spans="1:59" ht="15.75" x14ac:dyDescent="0.25">
      <c r="A125" s="3">
        <v>118</v>
      </c>
      <c r="B125" s="3" t="s">
        <v>481</v>
      </c>
      <c r="C125" s="3" t="s">
        <v>482</v>
      </c>
      <c r="D125" s="3" t="s">
        <v>1421</v>
      </c>
      <c r="E125" s="3" t="s">
        <v>483</v>
      </c>
      <c r="F125" s="3" t="s">
        <v>1422</v>
      </c>
      <c r="G125" s="3" t="s">
        <v>484</v>
      </c>
      <c r="H125" s="3" t="s">
        <v>485</v>
      </c>
      <c r="I125" s="3"/>
      <c r="J125" s="4" t="b">
        <v>1</v>
      </c>
      <c r="K125" s="3" t="str">
        <f t="shared" si="4"/>
        <v/>
      </c>
      <c r="L125" s="3"/>
      <c r="M125" s="3"/>
      <c r="N125" s="3" t="b">
        <v>0</v>
      </c>
      <c r="O125" s="3"/>
      <c r="P125" s="3">
        <v>11.699999809265099</v>
      </c>
      <c r="Q125" s="3"/>
      <c r="R125" s="3" t="s">
        <v>1181</v>
      </c>
      <c r="S125" s="3" t="s">
        <v>486</v>
      </c>
      <c r="T125" s="3" t="s">
        <v>26</v>
      </c>
      <c r="U125" s="3" t="b">
        <v>0</v>
      </c>
      <c r="V125" s="3">
        <v>0.60000002384185802</v>
      </c>
      <c r="W125" s="3" t="e">
        <f t="shared" si="3"/>
        <v>#VALUE!</v>
      </c>
      <c r="X125" s="3">
        <v>9</v>
      </c>
      <c r="Y125" s="3">
        <v>0.79000002145767201</v>
      </c>
      <c r="Z125" s="3"/>
      <c r="AA125" s="3" t="str">
        <f t="shared" si="5"/>
        <v>Species</v>
      </c>
      <c r="AB125" s="3" t="s">
        <v>1183</v>
      </c>
      <c r="AC125" s="3" t="s">
        <v>1183</v>
      </c>
      <c r="AD125" s="3" t="s">
        <v>1183</v>
      </c>
      <c r="AE125" s="3" t="s">
        <v>1183</v>
      </c>
      <c r="AF125" s="5" t="s">
        <v>1183</v>
      </c>
      <c r="AG125" s="3" t="s">
        <v>1183</v>
      </c>
      <c r="AH125" s="3" t="s">
        <v>1183</v>
      </c>
      <c r="AI125" s="3" t="s">
        <v>1183</v>
      </c>
      <c r="AJ125" s="3" t="s">
        <v>1183</v>
      </c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6">
        <v>5</v>
      </c>
      <c r="BF125" s="6">
        <v>13</v>
      </c>
      <c r="BG125" s="6">
        <v>17.2</v>
      </c>
    </row>
    <row r="126" spans="1:59" ht="15.75" x14ac:dyDescent="0.25">
      <c r="A126" s="3">
        <v>119</v>
      </c>
      <c r="B126" s="3" t="s">
        <v>155</v>
      </c>
      <c r="C126" s="3" t="s">
        <v>146</v>
      </c>
      <c r="D126" s="3" t="s">
        <v>1258</v>
      </c>
      <c r="E126" s="3" t="s">
        <v>147</v>
      </c>
      <c r="F126" s="3" t="s">
        <v>1423</v>
      </c>
      <c r="G126" s="3" t="s">
        <v>156</v>
      </c>
      <c r="H126" s="3" t="s">
        <v>157</v>
      </c>
      <c r="I126" s="3"/>
      <c r="J126" s="4" t="b">
        <v>0</v>
      </c>
      <c r="K126" s="3">
        <f t="shared" si="4"/>
        <v>70</v>
      </c>
      <c r="L126" s="3"/>
      <c r="M126" s="3"/>
      <c r="N126" s="3" t="b">
        <v>1</v>
      </c>
      <c r="O126" s="3"/>
      <c r="P126" s="3">
        <v>58.200000762939503</v>
      </c>
      <c r="Q126" s="3" t="s">
        <v>1424</v>
      </c>
      <c r="R126" s="3" t="s">
        <v>1181</v>
      </c>
      <c r="S126" s="3" t="s">
        <v>158</v>
      </c>
      <c r="T126" s="3" t="s">
        <v>26</v>
      </c>
      <c r="U126" s="3" t="b">
        <v>0</v>
      </c>
      <c r="V126" s="3">
        <v>0.62999999523162797</v>
      </c>
      <c r="W126" s="3" t="e">
        <f t="shared" si="3"/>
        <v>#VALUE!</v>
      </c>
      <c r="X126" s="3">
        <v>9</v>
      </c>
      <c r="Y126" s="3">
        <v>0.87999999523162797</v>
      </c>
      <c r="Z126" s="3"/>
      <c r="AA126" s="3" t="str">
        <f t="shared" si="5"/>
        <v>Species</v>
      </c>
      <c r="AB126" s="3">
        <v>50</v>
      </c>
      <c r="AC126" s="3">
        <v>90</v>
      </c>
      <c r="AD126" s="3" t="s">
        <v>1302</v>
      </c>
      <c r="AE126" s="3">
        <v>50</v>
      </c>
      <c r="AF126" s="5">
        <v>70</v>
      </c>
      <c r="AG126" s="3" t="s">
        <v>1183</v>
      </c>
      <c r="AH126" s="3" t="s">
        <v>1183</v>
      </c>
      <c r="AI126" s="3" t="s">
        <v>1183</v>
      </c>
      <c r="AJ126" s="3" t="s">
        <v>1183</v>
      </c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6">
        <v>70</v>
      </c>
      <c r="BF126" s="6">
        <v>518</v>
      </c>
      <c r="BG126" s="6">
        <v>117</v>
      </c>
    </row>
    <row r="127" spans="1:59" ht="15.75" x14ac:dyDescent="0.25">
      <c r="A127" s="3">
        <v>120</v>
      </c>
      <c r="B127" s="3" t="s">
        <v>490</v>
      </c>
      <c r="C127" s="3" t="s">
        <v>17</v>
      </c>
      <c r="D127" s="3" t="s">
        <v>1228</v>
      </c>
      <c r="E127" s="3" t="s">
        <v>491</v>
      </c>
      <c r="F127" s="3" t="s">
        <v>1425</v>
      </c>
      <c r="G127" s="3" t="s">
        <v>492</v>
      </c>
      <c r="H127" s="3" t="s">
        <v>493</v>
      </c>
      <c r="I127" s="3"/>
      <c r="J127" s="4" t="b">
        <v>0</v>
      </c>
      <c r="K127" s="3">
        <f t="shared" si="4"/>
        <v>50</v>
      </c>
      <c r="L127" s="3"/>
      <c r="M127" s="3"/>
      <c r="N127" s="3" t="b">
        <v>0</v>
      </c>
      <c r="O127" s="3"/>
      <c r="P127" s="3">
        <v>40</v>
      </c>
      <c r="Q127" s="3"/>
      <c r="R127" s="3" t="s">
        <v>1181</v>
      </c>
      <c r="S127" s="3" t="s">
        <v>494</v>
      </c>
      <c r="T127" s="3" t="s">
        <v>26</v>
      </c>
      <c r="U127" s="3" t="b">
        <v>0</v>
      </c>
      <c r="V127" s="3">
        <v>0.69999998807907104</v>
      </c>
      <c r="W127" s="3" t="e">
        <f t="shared" si="3"/>
        <v>#VALUE!</v>
      </c>
      <c r="X127" s="3">
        <v>9</v>
      </c>
      <c r="Y127" s="3">
        <v>0.79000002145767201</v>
      </c>
      <c r="Z127" s="3"/>
      <c r="AA127" s="3" t="str">
        <f t="shared" si="5"/>
        <v>Species</v>
      </c>
      <c r="AB127" s="3" t="s">
        <v>1183</v>
      </c>
      <c r="AC127" s="3" t="s">
        <v>1183</v>
      </c>
      <c r="AD127" s="3" t="s">
        <v>1183</v>
      </c>
      <c r="AE127" s="3">
        <v>50</v>
      </c>
      <c r="AF127" s="5">
        <v>50</v>
      </c>
      <c r="AG127" s="3" t="s">
        <v>1183</v>
      </c>
      <c r="AH127" s="3" t="s">
        <v>1183</v>
      </c>
      <c r="AI127" s="3" t="s">
        <v>1183</v>
      </c>
      <c r="AJ127" s="3" t="s">
        <v>1183</v>
      </c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6">
        <v>16</v>
      </c>
      <c r="BF127" s="6">
        <v>18</v>
      </c>
      <c r="BG127" s="6">
        <v>59</v>
      </c>
    </row>
    <row r="128" spans="1:59" ht="15.75" x14ac:dyDescent="0.25">
      <c r="A128" s="3">
        <v>121</v>
      </c>
      <c r="B128" s="3" t="s">
        <v>167</v>
      </c>
      <c r="C128" s="3" t="s">
        <v>146</v>
      </c>
      <c r="D128" s="3" t="s">
        <v>1258</v>
      </c>
      <c r="E128" s="3" t="s">
        <v>147</v>
      </c>
      <c r="F128" s="3" t="s">
        <v>1426</v>
      </c>
      <c r="G128" s="3" t="s">
        <v>168</v>
      </c>
      <c r="H128" s="3" t="s">
        <v>169</v>
      </c>
      <c r="I128" s="3"/>
      <c r="J128" s="4" t="b">
        <v>0</v>
      </c>
      <c r="K128" s="3">
        <f t="shared" si="4"/>
        <v>45</v>
      </c>
      <c r="L128" s="3"/>
      <c r="M128" s="3"/>
      <c r="N128" s="3" t="b">
        <v>0</v>
      </c>
      <c r="O128" s="3"/>
      <c r="P128" s="3">
        <v>40</v>
      </c>
      <c r="Q128" s="3"/>
      <c r="R128" s="3" t="s">
        <v>1181</v>
      </c>
      <c r="S128" s="3" t="s">
        <v>170</v>
      </c>
      <c r="T128" s="3" t="s">
        <v>26</v>
      </c>
      <c r="U128" s="3" t="b">
        <v>0</v>
      </c>
      <c r="V128" s="3">
        <v>0.64999997615814198</v>
      </c>
      <c r="W128" s="3" t="e">
        <f t="shared" si="3"/>
        <v>#VALUE!</v>
      </c>
      <c r="X128" s="3">
        <v>9</v>
      </c>
      <c r="Y128" s="3">
        <v>0.87999999523162797</v>
      </c>
      <c r="Z128" s="3"/>
      <c r="AA128" s="3" t="str">
        <f t="shared" si="5"/>
        <v>Species</v>
      </c>
      <c r="AB128" s="3">
        <v>45</v>
      </c>
      <c r="AC128" s="3" t="s">
        <v>1183</v>
      </c>
      <c r="AD128" s="3" t="s">
        <v>1183</v>
      </c>
      <c r="AE128" s="3">
        <v>45</v>
      </c>
      <c r="AF128" s="5">
        <v>45</v>
      </c>
      <c r="AG128" s="3" t="s">
        <v>1183</v>
      </c>
      <c r="AH128" s="3" t="s">
        <v>1183</v>
      </c>
      <c r="AI128" s="3" t="s">
        <v>1183</v>
      </c>
      <c r="AJ128" s="3" t="s">
        <v>1183</v>
      </c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6">
        <v>14</v>
      </c>
      <c r="BF128" s="6">
        <v>1</v>
      </c>
      <c r="BG128" s="6">
        <v>14</v>
      </c>
    </row>
    <row r="129" spans="1:59" ht="15.75" x14ac:dyDescent="0.25">
      <c r="A129" s="3">
        <v>122</v>
      </c>
      <c r="B129" s="3" t="s">
        <v>498</v>
      </c>
      <c r="C129" s="3" t="s">
        <v>17</v>
      </c>
      <c r="D129" s="3" t="s">
        <v>1228</v>
      </c>
      <c r="E129" s="3" t="s">
        <v>491</v>
      </c>
      <c r="F129" s="3" t="s">
        <v>1427</v>
      </c>
      <c r="G129" s="3" t="s">
        <v>499</v>
      </c>
      <c r="H129" s="3" t="s">
        <v>1228</v>
      </c>
      <c r="I129" s="3"/>
      <c r="J129" s="4" t="s">
        <v>1188</v>
      </c>
      <c r="K129" s="3" t="str">
        <f t="shared" si="4"/>
        <v/>
      </c>
      <c r="L129" s="3"/>
      <c r="M129" s="3"/>
      <c r="N129" s="3" t="b">
        <v>0</v>
      </c>
      <c r="O129" s="3"/>
      <c r="P129" s="3"/>
      <c r="Q129" s="3"/>
      <c r="R129" s="3" t="s">
        <v>1181</v>
      </c>
      <c r="S129" s="3"/>
      <c r="T129" s="3" t="s">
        <v>26</v>
      </c>
      <c r="U129" s="3"/>
      <c r="V129" s="3"/>
      <c r="W129" s="3" t="str">
        <f t="shared" si="3"/>
        <v/>
      </c>
      <c r="X129" s="3"/>
      <c r="Y129" s="3"/>
      <c r="Z129" s="3"/>
      <c r="AA129" s="3" t="str">
        <f t="shared" si="5"/>
        <v>Genus</v>
      </c>
      <c r="AB129" s="3" t="s">
        <v>1183</v>
      </c>
      <c r="AC129" s="3" t="s">
        <v>1183</v>
      </c>
      <c r="AD129" s="3" t="s">
        <v>1183</v>
      </c>
      <c r="AE129" s="3" t="s">
        <v>1183</v>
      </c>
      <c r="AF129" s="5"/>
      <c r="AG129" s="3" t="s">
        <v>1183</v>
      </c>
      <c r="AH129" s="3" t="s">
        <v>1183</v>
      </c>
      <c r="AI129" s="3" t="s">
        <v>1183</v>
      </c>
      <c r="AJ129" s="3" t="s">
        <v>1183</v>
      </c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6" t="e">
        <v>#NUM!</v>
      </c>
      <c r="BF129" s="6">
        <v>0</v>
      </c>
      <c r="BG129" s="6" t="e">
        <v>#NUM!</v>
      </c>
    </row>
    <row r="130" spans="1:59" ht="15.75" x14ac:dyDescent="0.25">
      <c r="A130" s="3">
        <v>123</v>
      </c>
      <c r="B130" s="3" t="s">
        <v>898</v>
      </c>
      <c r="C130" s="3" t="s">
        <v>868</v>
      </c>
      <c r="D130" s="3" t="s">
        <v>1215</v>
      </c>
      <c r="E130" s="3" t="s">
        <v>869</v>
      </c>
      <c r="F130" s="3" t="s">
        <v>1428</v>
      </c>
      <c r="G130" s="3" t="s">
        <v>899</v>
      </c>
      <c r="H130" s="3" t="s">
        <v>900</v>
      </c>
      <c r="I130" s="3"/>
      <c r="J130" s="4" t="s">
        <v>1188</v>
      </c>
      <c r="K130" s="3">
        <f t="shared" si="4"/>
        <v>30</v>
      </c>
      <c r="L130" s="3"/>
      <c r="M130" s="3"/>
      <c r="N130" s="3" t="b">
        <v>1</v>
      </c>
      <c r="O130" s="3"/>
      <c r="P130" s="3">
        <v>40</v>
      </c>
      <c r="Q130" s="3"/>
      <c r="R130" s="3" t="s">
        <v>1181</v>
      </c>
      <c r="S130" s="3"/>
      <c r="T130" s="3" t="s">
        <v>26</v>
      </c>
      <c r="U130" s="3" t="b">
        <v>0</v>
      </c>
      <c r="V130" s="3">
        <v>0.30000001192092901</v>
      </c>
      <c r="W130" s="3" t="str">
        <f t="shared" ref="W130:W193" si="6">IF(OR(H130="",S130=""),"",H130/S130)</f>
        <v/>
      </c>
      <c r="X130" s="3">
        <v>9</v>
      </c>
      <c r="Y130" s="3">
        <v>0.79500001668930098</v>
      </c>
      <c r="Z130" s="3"/>
      <c r="AA130" s="3" t="str">
        <f t="shared" si="5"/>
        <v>Species</v>
      </c>
      <c r="AB130" s="3">
        <v>30</v>
      </c>
      <c r="AC130" s="3" t="s">
        <v>1183</v>
      </c>
      <c r="AD130" s="3" t="s">
        <v>1183</v>
      </c>
      <c r="AE130" s="3">
        <v>30</v>
      </c>
      <c r="AF130" s="5">
        <v>30</v>
      </c>
      <c r="AG130" s="3" t="s">
        <v>1183</v>
      </c>
      <c r="AH130" s="3" t="s">
        <v>1183</v>
      </c>
      <c r="AI130" s="3" t="s">
        <v>1183</v>
      </c>
      <c r="AJ130" s="3" t="s">
        <v>1183</v>
      </c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6" t="e">
        <v>#NUM!</v>
      </c>
      <c r="BF130" s="6">
        <v>0</v>
      </c>
      <c r="BG130" s="6" t="e">
        <v>#NUM!</v>
      </c>
    </row>
    <row r="131" spans="1:59" ht="15.75" x14ac:dyDescent="0.25">
      <c r="A131" s="3">
        <v>124</v>
      </c>
      <c r="B131" s="3" t="s">
        <v>487</v>
      </c>
      <c r="C131" s="3" t="s">
        <v>17</v>
      </c>
      <c r="D131" s="3" t="s">
        <v>1429</v>
      </c>
      <c r="E131" s="3" t="s">
        <v>488</v>
      </c>
      <c r="F131" s="3" t="s">
        <v>1430</v>
      </c>
      <c r="G131" s="3" t="s">
        <v>488</v>
      </c>
      <c r="H131" s="3" t="s">
        <v>489</v>
      </c>
      <c r="I131" s="3"/>
      <c r="J131" s="4" t="b">
        <v>1</v>
      </c>
      <c r="K131" s="3">
        <f t="shared" ref="K131:K194" si="7">IF(AF131="","",AF131)</f>
        <v>30</v>
      </c>
      <c r="L131" s="3"/>
      <c r="M131" s="3"/>
      <c r="N131" s="3" t="b">
        <v>1</v>
      </c>
      <c r="O131" s="3"/>
      <c r="P131" s="3">
        <v>34.799999237060497</v>
      </c>
      <c r="Q131" s="3"/>
      <c r="R131" s="3" t="s">
        <v>1181</v>
      </c>
      <c r="S131" s="3" t="s">
        <v>248</v>
      </c>
      <c r="T131" s="3" t="s">
        <v>26</v>
      </c>
      <c r="U131" s="3" t="b">
        <v>0</v>
      </c>
      <c r="V131" s="3">
        <v>0.62000000476837203</v>
      </c>
      <c r="W131" s="3" t="e">
        <f t="shared" si="6"/>
        <v>#VALUE!</v>
      </c>
      <c r="X131" s="3">
        <v>9</v>
      </c>
      <c r="Y131" s="3">
        <v>0.79000002145767201</v>
      </c>
      <c r="Z131" s="3"/>
      <c r="AA131" s="3" t="str">
        <f t="shared" ref="AA131:AA194" si="8">IF(RIGHT(B131,3)="spp","Genus","Species")</f>
        <v>Species</v>
      </c>
      <c r="AB131" s="3">
        <v>25</v>
      </c>
      <c r="AC131" s="3">
        <v>25</v>
      </c>
      <c r="AD131" s="3" t="s">
        <v>1208</v>
      </c>
      <c r="AE131" s="3">
        <v>25</v>
      </c>
      <c r="AF131" s="5">
        <v>30</v>
      </c>
      <c r="AG131" s="3" t="s">
        <v>1183</v>
      </c>
      <c r="AH131" s="3" t="s">
        <v>1183</v>
      </c>
      <c r="AI131" s="3" t="s">
        <v>1183</v>
      </c>
      <c r="AJ131" s="3" t="s">
        <v>1183</v>
      </c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6">
        <v>28</v>
      </c>
      <c r="BF131" s="6">
        <v>422</v>
      </c>
      <c r="BG131" s="6">
        <v>86</v>
      </c>
    </row>
    <row r="132" spans="1:59" ht="15.75" x14ac:dyDescent="0.25">
      <c r="A132" s="3">
        <v>304</v>
      </c>
      <c r="B132" s="3" t="s">
        <v>957</v>
      </c>
      <c r="C132" s="3" t="s">
        <v>141</v>
      </c>
      <c r="D132" s="3" t="s">
        <v>1431</v>
      </c>
      <c r="E132" s="3" t="s">
        <v>958</v>
      </c>
      <c r="F132" s="3" t="s">
        <v>1704</v>
      </c>
      <c r="G132" s="3" t="s">
        <v>959</v>
      </c>
      <c r="H132" s="3" t="s">
        <v>960</v>
      </c>
      <c r="I132" s="3"/>
      <c r="J132" s="4" t="b">
        <v>0</v>
      </c>
      <c r="K132" s="3" t="str">
        <f t="shared" si="7"/>
        <v/>
      </c>
      <c r="L132" s="3"/>
      <c r="M132" s="3"/>
      <c r="N132" s="3" t="b">
        <v>0</v>
      </c>
      <c r="O132" s="3"/>
      <c r="P132" s="3"/>
      <c r="Q132" s="3"/>
      <c r="R132" s="3" t="s">
        <v>1181</v>
      </c>
      <c r="S132" s="3"/>
      <c r="T132" s="3" t="s">
        <v>26</v>
      </c>
      <c r="U132" s="3" t="b">
        <v>0</v>
      </c>
      <c r="V132" s="3"/>
      <c r="W132" s="3" t="str">
        <f t="shared" si="6"/>
        <v/>
      </c>
      <c r="X132" s="3"/>
      <c r="Y132" s="3"/>
      <c r="Z132" s="3"/>
      <c r="AA132" s="3" t="str">
        <f t="shared" si="8"/>
        <v>Species</v>
      </c>
      <c r="AB132" s="3"/>
      <c r="AC132" s="3"/>
      <c r="AD132" s="3"/>
      <c r="AE132" s="3"/>
      <c r="AF132" s="5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6" t="e">
        <v>#NUM!</v>
      </c>
      <c r="BF132" s="6">
        <v>0</v>
      </c>
      <c r="BG132" s="6" t="e">
        <v>#NUM!</v>
      </c>
    </row>
    <row r="133" spans="1:59" ht="15.75" x14ac:dyDescent="0.25">
      <c r="A133" s="3">
        <v>125</v>
      </c>
      <c r="B133" s="3" t="s">
        <v>505</v>
      </c>
      <c r="C133" s="3" t="s">
        <v>200</v>
      </c>
      <c r="D133" s="3" t="s">
        <v>1432</v>
      </c>
      <c r="E133" s="3" t="s">
        <v>502</v>
      </c>
      <c r="F133" s="3" t="s">
        <v>1433</v>
      </c>
      <c r="G133" s="3" t="s">
        <v>506</v>
      </c>
      <c r="H133" s="3" t="s">
        <v>507</v>
      </c>
      <c r="I133" s="3"/>
      <c r="J133" s="4" t="b">
        <v>0</v>
      </c>
      <c r="K133" s="3" t="str">
        <f t="shared" si="7"/>
        <v/>
      </c>
      <c r="L133" s="3"/>
      <c r="M133" s="3"/>
      <c r="N133" s="3" t="b">
        <v>0</v>
      </c>
      <c r="O133" s="3"/>
      <c r="P133" s="3">
        <v>40</v>
      </c>
      <c r="Q133" s="3"/>
      <c r="R133" s="3" t="s">
        <v>1276</v>
      </c>
      <c r="S133" s="3" t="s">
        <v>191</v>
      </c>
      <c r="T133" s="3" t="s">
        <v>26</v>
      </c>
      <c r="U133" s="3" t="b">
        <v>0</v>
      </c>
      <c r="V133" s="3">
        <v>0.60000002384185802</v>
      </c>
      <c r="W133" s="3" t="e">
        <f t="shared" si="6"/>
        <v>#VALUE!</v>
      </c>
      <c r="X133" s="3">
        <v>9</v>
      </c>
      <c r="Y133" s="3">
        <v>0.79000002145767201</v>
      </c>
      <c r="Z133" s="3"/>
      <c r="AA133" s="3" t="str">
        <f t="shared" si="8"/>
        <v>Species</v>
      </c>
      <c r="AB133" s="3" t="s">
        <v>1183</v>
      </c>
      <c r="AC133" s="3">
        <v>100</v>
      </c>
      <c r="AD133" s="3" t="s">
        <v>1194</v>
      </c>
      <c r="AE133" s="3" t="s">
        <v>1183</v>
      </c>
      <c r="AF133" s="5" t="s">
        <v>1183</v>
      </c>
      <c r="AG133" s="3" t="s">
        <v>1183</v>
      </c>
      <c r="AH133" s="3" t="s">
        <v>1183</v>
      </c>
      <c r="AI133" s="3" t="s">
        <v>1183</v>
      </c>
      <c r="AJ133" s="3" t="s">
        <v>1183</v>
      </c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6">
        <v>14.360000038146978</v>
      </c>
      <c r="BF133" s="6">
        <v>29</v>
      </c>
      <c r="BG133" s="6">
        <v>29</v>
      </c>
    </row>
    <row r="134" spans="1:59" ht="15.75" x14ac:dyDescent="0.25">
      <c r="A134" s="3">
        <v>301</v>
      </c>
      <c r="B134" s="3" t="s">
        <v>508</v>
      </c>
      <c r="C134" s="3" t="s">
        <v>200</v>
      </c>
      <c r="D134" s="3" t="s">
        <v>1432</v>
      </c>
      <c r="E134" s="3" t="s">
        <v>502</v>
      </c>
      <c r="F134" s="3" t="s">
        <v>1701</v>
      </c>
      <c r="G134" s="3" t="s">
        <v>509</v>
      </c>
      <c r="H134" s="3" t="s">
        <v>510</v>
      </c>
      <c r="I134" s="3"/>
      <c r="J134" s="4" t="b">
        <v>0</v>
      </c>
      <c r="K134" s="3" t="str">
        <f t="shared" si="7"/>
        <v/>
      </c>
      <c r="L134" s="3"/>
      <c r="M134" s="3"/>
      <c r="N134" s="3" t="b">
        <v>0</v>
      </c>
      <c r="O134" s="3"/>
      <c r="P134" s="3"/>
      <c r="Q134" s="3"/>
      <c r="R134" s="3" t="s">
        <v>1276</v>
      </c>
      <c r="S134" s="3"/>
      <c r="T134" s="3" t="s">
        <v>26</v>
      </c>
      <c r="U134" s="3" t="b">
        <v>0</v>
      </c>
      <c r="V134" s="3"/>
      <c r="W134" s="3" t="str">
        <f t="shared" si="6"/>
        <v/>
      </c>
      <c r="X134" s="3"/>
      <c r="Y134" s="3"/>
      <c r="Z134" s="3"/>
      <c r="AA134" s="3" t="str">
        <f t="shared" si="8"/>
        <v>Species</v>
      </c>
      <c r="AB134" s="3"/>
      <c r="AC134" s="3"/>
      <c r="AD134" s="3"/>
      <c r="AE134" s="3"/>
      <c r="AF134" s="5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6" t="e">
        <v>#NUM!</v>
      </c>
      <c r="BF134" s="6">
        <v>0</v>
      </c>
      <c r="BG134" s="6" t="e">
        <v>#NUM!</v>
      </c>
    </row>
    <row r="135" spans="1:59" ht="15.75" x14ac:dyDescent="0.25">
      <c r="A135" s="3">
        <v>302</v>
      </c>
      <c r="B135" s="3" t="s">
        <v>511</v>
      </c>
      <c r="C135" s="3" t="s">
        <v>200</v>
      </c>
      <c r="D135" s="3" t="s">
        <v>1432</v>
      </c>
      <c r="E135" s="3" t="s">
        <v>502</v>
      </c>
      <c r="F135" s="3" t="s">
        <v>1702</v>
      </c>
      <c r="G135" s="3" t="s">
        <v>512</v>
      </c>
      <c r="H135" s="3" t="s">
        <v>513</v>
      </c>
      <c r="I135" s="3"/>
      <c r="J135" s="4" t="b">
        <v>0</v>
      </c>
      <c r="K135" s="3" t="str">
        <f t="shared" si="7"/>
        <v/>
      </c>
      <c r="L135" s="3"/>
      <c r="M135" s="3"/>
      <c r="N135" s="3" t="b">
        <v>0</v>
      </c>
      <c r="O135" s="3"/>
      <c r="P135" s="3"/>
      <c r="Q135" s="3"/>
      <c r="R135" s="3" t="s">
        <v>1276</v>
      </c>
      <c r="S135" s="3"/>
      <c r="T135" s="3" t="s">
        <v>26</v>
      </c>
      <c r="U135" s="3" t="b">
        <v>0</v>
      </c>
      <c r="V135" s="3"/>
      <c r="W135" s="3" t="str">
        <f t="shared" si="6"/>
        <v/>
      </c>
      <c r="X135" s="3"/>
      <c r="Y135" s="3"/>
      <c r="Z135" s="3"/>
      <c r="AA135" s="3" t="str">
        <f t="shared" si="8"/>
        <v>Species</v>
      </c>
      <c r="AB135" s="3"/>
      <c r="AC135" s="3"/>
      <c r="AD135" s="3"/>
      <c r="AE135" s="3"/>
      <c r="AF135" s="5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6" t="e">
        <v>#NUM!</v>
      </c>
      <c r="BF135" s="6">
        <v>0</v>
      </c>
      <c r="BG135" s="6" t="e">
        <v>#NUM!</v>
      </c>
    </row>
    <row r="136" spans="1:59" ht="15.75" x14ac:dyDescent="0.25">
      <c r="A136" s="3">
        <v>126</v>
      </c>
      <c r="B136" s="3" t="s">
        <v>514</v>
      </c>
      <c r="C136" s="3" t="s">
        <v>200</v>
      </c>
      <c r="D136" s="3" t="s">
        <v>1279</v>
      </c>
      <c r="E136" s="3" t="s">
        <v>502</v>
      </c>
      <c r="F136" s="3" t="s">
        <v>1434</v>
      </c>
      <c r="G136" s="3" t="s">
        <v>515</v>
      </c>
      <c r="H136" s="3" t="s">
        <v>516</v>
      </c>
      <c r="I136" s="3"/>
      <c r="J136" s="4" t="b">
        <v>0</v>
      </c>
      <c r="K136" s="3" t="str">
        <f t="shared" si="7"/>
        <v/>
      </c>
      <c r="L136" s="3"/>
      <c r="M136" s="3"/>
      <c r="N136" s="3" t="b">
        <v>0</v>
      </c>
      <c r="O136" s="3"/>
      <c r="P136" s="3">
        <v>40</v>
      </c>
      <c r="Q136" s="3"/>
      <c r="R136" s="3" t="s">
        <v>1276</v>
      </c>
      <c r="S136" s="3"/>
      <c r="T136" s="3" t="s">
        <v>26</v>
      </c>
      <c r="U136" s="3" t="b">
        <v>0</v>
      </c>
      <c r="V136" s="3">
        <v>0.60000002384185802</v>
      </c>
      <c r="W136" s="3" t="str">
        <f t="shared" si="6"/>
        <v/>
      </c>
      <c r="X136" s="3">
        <v>9</v>
      </c>
      <c r="Y136" s="3">
        <v>0.79000002145767201</v>
      </c>
      <c r="Z136" s="3"/>
      <c r="AA136" s="3" t="str">
        <f t="shared" si="8"/>
        <v>Species</v>
      </c>
      <c r="AB136" s="3" t="s">
        <v>1183</v>
      </c>
      <c r="AC136" s="3" t="s">
        <v>1183</v>
      </c>
      <c r="AD136" s="3" t="s">
        <v>1183</v>
      </c>
      <c r="AE136" s="3" t="s">
        <v>1183</v>
      </c>
      <c r="AF136" s="5" t="s">
        <v>1183</v>
      </c>
      <c r="AG136" s="3" t="s">
        <v>1183</v>
      </c>
      <c r="AH136" s="3" t="s">
        <v>1183</v>
      </c>
      <c r="AI136" s="3" t="s">
        <v>1183</v>
      </c>
      <c r="AJ136" s="3" t="s">
        <v>1183</v>
      </c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6" t="e">
        <v>#NUM!</v>
      </c>
      <c r="BF136" s="6">
        <v>0</v>
      </c>
      <c r="BG136" s="6" t="e">
        <v>#NUM!</v>
      </c>
    </row>
    <row r="137" spans="1:59" ht="15.75" x14ac:dyDescent="0.25">
      <c r="A137" s="3">
        <v>127</v>
      </c>
      <c r="B137" s="3" t="s">
        <v>501</v>
      </c>
      <c r="C137" s="3" t="s">
        <v>200</v>
      </c>
      <c r="D137" s="3" t="s">
        <v>1432</v>
      </c>
      <c r="E137" s="3" t="s">
        <v>502</v>
      </c>
      <c r="F137" s="3" t="s">
        <v>1435</v>
      </c>
      <c r="G137" s="3" t="s">
        <v>503</v>
      </c>
      <c r="H137" s="3" t="s">
        <v>1436</v>
      </c>
      <c r="I137" s="3"/>
      <c r="J137" s="4" t="s">
        <v>1188</v>
      </c>
      <c r="K137" s="3" t="str">
        <f t="shared" si="7"/>
        <v/>
      </c>
      <c r="L137" s="3"/>
      <c r="M137" s="3"/>
      <c r="N137" s="3" t="b">
        <v>0</v>
      </c>
      <c r="O137" s="3"/>
      <c r="P137" s="3"/>
      <c r="Q137" s="3"/>
      <c r="R137" s="3" t="s">
        <v>1276</v>
      </c>
      <c r="S137" s="3"/>
      <c r="T137" s="3"/>
      <c r="U137" s="3"/>
      <c r="V137" s="3"/>
      <c r="W137" s="3" t="str">
        <f t="shared" si="6"/>
        <v/>
      </c>
      <c r="X137" s="3">
        <v>9</v>
      </c>
      <c r="Y137" s="3">
        <v>0.79000002145767201</v>
      </c>
      <c r="Z137" s="3"/>
      <c r="AA137" s="3" t="str">
        <f t="shared" si="8"/>
        <v>Genus</v>
      </c>
      <c r="AB137" s="3" t="s">
        <v>1183</v>
      </c>
      <c r="AC137" s="3" t="s">
        <v>1183</v>
      </c>
      <c r="AD137" s="3" t="s">
        <v>1183</v>
      </c>
      <c r="AE137" s="3" t="s">
        <v>1183</v>
      </c>
      <c r="AF137" s="5"/>
      <c r="AG137" s="3" t="s">
        <v>1183</v>
      </c>
      <c r="AH137" s="3" t="s">
        <v>1183</v>
      </c>
      <c r="AI137" s="3" t="s">
        <v>1183</v>
      </c>
      <c r="AJ137" s="3" t="s">
        <v>1183</v>
      </c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6">
        <v>24</v>
      </c>
      <c r="BF137" s="6">
        <v>606</v>
      </c>
      <c r="BG137" s="6">
        <v>55</v>
      </c>
    </row>
    <row r="138" spans="1:59" ht="15.75" x14ac:dyDescent="0.25">
      <c r="A138" s="3">
        <v>128</v>
      </c>
      <c r="B138" s="3" t="s">
        <v>521</v>
      </c>
      <c r="C138" s="3" t="s">
        <v>522</v>
      </c>
      <c r="D138" s="3" t="s">
        <v>1437</v>
      </c>
      <c r="E138" s="3" t="s">
        <v>523</v>
      </c>
      <c r="F138" s="3" t="s">
        <v>1438</v>
      </c>
      <c r="G138" s="3" t="s">
        <v>523</v>
      </c>
      <c r="H138" s="3" t="s">
        <v>524</v>
      </c>
      <c r="I138" s="3"/>
      <c r="J138" s="4" t="b">
        <v>0</v>
      </c>
      <c r="K138" s="3" t="str">
        <f t="shared" si="7"/>
        <v/>
      </c>
      <c r="L138" s="3"/>
      <c r="M138" s="3"/>
      <c r="N138" s="3" t="b">
        <v>0</v>
      </c>
      <c r="O138" s="3"/>
      <c r="P138" s="3">
        <v>40</v>
      </c>
      <c r="Q138" s="3"/>
      <c r="R138" s="3" t="s">
        <v>1181</v>
      </c>
      <c r="S138" s="3" t="s">
        <v>525</v>
      </c>
      <c r="T138" s="3" t="s">
        <v>26</v>
      </c>
      <c r="U138" s="3" t="b">
        <v>0</v>
      </c>
      <c r="V138" s="3">
        <v>0.69999998807907104</v>
      </c>
      <c r="W138" s="3" t="e">
        <f t="shared" si="6"/>
        <v>#VALUE!</v>
      </c>
      <c r="X138" s="3">
        <v>9</v>
      </c>
      <c r="Y138" s="3">
        <v>0.79000002145767201</v>
      </c>
      <c r="Z138" s="3"/>
      <c r="AA138" s="3" t="str">
        <f t="shared" si="8"/>
        <v>Species</v>
      </c>
      <c r="AB138" s="3" t="s">
        <v>1183</v>
      </c>
      <c r="AC138" s="3" t="s">
        <v>1183</v>
      </c>
      <c r="AD138" s="3" t="s">
        <v>1183</v>
      </c>
      <c r="AE138" s="3" t="s">
        <v>1183</v>
      </c>
      <c r="AF138" s="5" t="s">
        <v>1183</v>
      </c>
      <c r="AG138" s="3" t="s">
        <v>1183</v>
      </c>
      <c r="AH138" s="3" t="s">
        <v>1183</v>
      </c>
      <c r="AI138" s="3" t="s">
        <v>1183</v>
      </c>
      <c r="AJ138" s="3" t="s">
        <v>1183</v>
      </c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6" t="e">
        <v>#NUM!</v>
      </c>
      <c r="BF138" s="6">
        <v>0</v>
      </c>
      <c r="BG138" s="6" t="e">
        <v>#NUM!</v>
      </c>
    </row>
    <row r="139" spans="1:59" ht="15.75" x14ac:dyDescent="0.25">
      <c r="A139" s="3">
        <v>129</v>
      </c>
      <c r="B139" s="3" t="s">
        <v>526</v>
      </c>
      <c r="C139" s="3" t="s">
        <v>527</v>
      </c>
      <c r="D139" s="3" t="s">
        <v>1439</v>
      </c>
      <c r="E139" s="3" t="s">
        <v>528</v>
      </c>
      <c r="F139" s="3" t="s">
        <v>1440</v>
      </c>
      <c r="G139" s="3" t="s">
        <v>529</v>
      </c>
      <c r="H139" s="3" t="s">
        <v>530</v>
      </c>
      <c r="I139" s="3"/>
      <c r="J139" s="4" t="b">
        <v>0</v>
      </c>
      <c r="K139" s="3" t="str">
        <f t="shared" si="7"/>
        <v/>
      </c>
      <c r="L139" s="3"/>
      <c r="M139" s="3"/>
      <c r="N139" s="3" t="b">
        <v>0</v>
      </c>
      <c r="O139" s="3"/>
      <c r="P139" s="3">
        <v>30</v>
      </c>
      <c r="Q139" s="3"/>
      <c r="R139" s="3" t="s">
        <v>1181</v>
      </c>
      <c r="S139" s="3" t="s">
        <v>252</v>
      </c>
      <c r="T139" s="3" t="s">
        <v>26</v>
      </c>
      <c r="U139" s="3" t="b">
        <v>0</v>
      </c>
      <c r="V139" s="3">
        <v>0.730000019073486</v>
      </c>
      <c r="W139" s="3" t="e">
        <f t="shared" si="6"/>
        <v>#VALUE!</v>
      </c>
      <c r="X139" s="3">
        <v>9</v>
      </c>
      <c r="Y139" s="3">
        <v>0.79000002145767201</v>
      </c>
      <c r="Z139" s="3"/>
      <c r="AA139" s="3" t="str">
        <f t="shared" si="8"/>
        <v>Species</v>
      </c>
      <c r="AB139" s="3" t="s">
        <v>1183</v>
      </c>
      <c r="AC139" s="3" t="s">
        <v>1183</v>
      </c>
      <c r="AD139" s="3" t="s">
        <v>1183</v>
      </c>
      <c r="AE139" s="3" t="s">
        <v>1183</v>
      </c>
      <c r="AF139" s="5" t="s">
        <v>1183</v>
      </c>
      <c r="AG139" s="3" t="s">
        <v>1183</v>
      </c>
      <c r="AH139" s="3" t="s">
        <v>1183</v>
      </c>
      <c r="AI139" s="3" t="s">
        <v>1183</v>
      </c>
      <c r="AJ139" s="3" t="s">
        <v>1183</v>
      </c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6">
        <v>5</v>
      </c>
      <c r="BF139" s="6">
        <v>504</v>
      </c>
      <c r="BG139" s="6">
        <v>79</v>
      </c>
    </row>
    <row r="140" spans="1:59" ht="15.75" x14ac:dyDescent="0.25">
      <c r="A140" s="3">
        <v>130</v>
      </c>
      <c r="B140" s="3" t="s">
        <v>535</v>
      </c>
      <c r="C140" s="3" t="s">
        <v>321</v>
      </c>
      <c r="D140" s="3" t="s">
        <v>1441</v>
      </c>
      <c r="E140" s="3" t="s">
        <v>536</v>
      </c>
      <c r="F140" s="3" t="s">
        <v>1442</v>
      </c>
      <c r="G140" s="3" t="s">
        <v>537</v>
      </c>
      <c r="H140" s="3" t="s">
        <v>538</v>
      </c>
      <c r="I140" s="3"/>
      <c r="J140" s="4" t="b">
        <v>0</v>
      </c>
      <c r="K140" s="3">
        <f t="shared" si="7"/>
        <v>80</v>
      </c>
      <c r="L140" s="3"/>
      <c r="M140" s="3"/>
      <c r="N140" s="3" t="b">
        <v>0</v>
      </c>
      <c r="O140" s="3"/>
      <c r="P140" s="3">
        <v>54.900001525878899</v>
      </c>
      <c r="Q140" s="3"/>
      <c r="R140" s="3" t="s">
        <v>1181</v>
      </c>
      <c r="S140" s="3" t="s">
        <v>65</v>
      </c>
      <c r="T140" s="3" t="s">
        <v>26</v>
      </c>
      <c r="U140" s="3" t="b">
        <v>0</v>
      </c>
      <c r="V140" s="3">
        <v>0.69999998807907104</v>
      </c>
      <c r="W140" s="3" t="e">
        <f t="shared" si="6"/>
        <v>#VALUE!</v>
      </c>
      <c r="X140" s="3">
        <v>9</v>
      </c>
      <c r="Y140" s="3">
        <v>0.79000002145767201</v>
      </c>
      <c r="Z140" s="3"/>
      <c r="AA140" s="3" t="str">
        <f t="shared" si="8"/>
        <v>Species</v>
      </c>
      <c r="AB140" s="3">
        <v>100</v>
      </c>
      <c r="AC140" s="3" t="s">
        <v>1183</v>
      </c>
      <c r="AD140" s="3" t="s">
        <v>1183</v>
      </c>
      <c r="AE140" s="3">
        <v>100</v>
      </c>
      <c r="AF140" s="5">
        <v>80</v>
      </c>
      <c r="AG140" s="3" t="s">
        <v>1183</v>
      </c>
      <c r="AH140" s="3" t="s">
        <v>1183</v>
      </c>
      <c r="AI140" s="3" t="s">
        <v>1183</v>
      </c>
      <c r="AJ140" s="3" t="s">
        <v>1183</v>
      </c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6">
        <v>39</v>
      </c>
      <c r="BF140" s="6">
        <v>36</v>
      </c>
      <c r="BG140" s="6">
        <v>43</v>
      </c>
    </row>
    <row r="141" spans="1:59" ht="15.75" x14ac:dyDescent="0.25">
      <c r="A141" s="3">
        <v>131</v>
      </c>
      <c r="B141" s="3" t="s">
        <v>543</v>
      </c>
      <c r="C141" s="3" t="s">
        <v>321</v>
      </c>
      <c r="D141" s="3" t="s">
        <v>1441</v>
      </c>
      <c r="E141" s="3" t="s">
        <v>536</v>
      </c>
      <c r="F141" s="3" t="s">
        <v>1443</v>
      </c>
      <c r="G141" s="3" t="s">
        <v>544</v>
      </c>
      <c r="H141" s="3" t="s">
        <v>545</v>
      </c>
      <c r="I141" s="3"/>
      <c r="J141" s="4" t="b">
        <v>0</v>
      </c>
      <c r="K141" s="3" t="str">
        <f t="shared" si="7"/>
        <v/>
      </c>
      <c r="L141" s="3"/>
      <c r="M141" s="3"/>
      <c r="N141" s="3" t="b">
        <v>0</v>
      </c>
      <c r="O141" s="3"/>
      <c r="P141" s="3">
        <v>40</v>
      </c>
      <c r="Q141" s="3"/>
      <c r="R141" s="3" t="s">
        <v>1181</v>
      </c>
      <c r="S141" s="3"/>
      <c r="T141" s="3" t="s">
        <v>26</v>
      </c>
      <c r="U141" s="3" t="b">
        <v>0</v>
      </c>
      <c r="V141" s="3">
        <v>0.69999998807907104</v>
      </c>
      <c r="W141" s="3" t="str">
        <f t="shared" si="6"/>
        <v/>
      </c>
      <c r="X141" s="3">
        <v>9</v>
      </c>
      <c r="Y141" s="3">
        <v>0.79000002145767201</v>
      </c>
      <c r="Z141" s="3"/>
      <c r="AA141" s="3" t="str">
        <f t="shared" si="8"/>
        <v>Species</v>
      </c>
      <c r="AB141" s="3" t="s">
        <v>1183</v>
      </c>
      <c r="AC141" s="3" t="s">
        <v>1183</v>
      </c>
      <c r="AD141" s="3" t="s">
        <v>1183</v>
      </c>
      <c r="AE141" s="3" t="s">
        <v>1183</v>
      </c>
      <c r="AF141" s="5" t="s">
        <v>1183</v>
      </c>
      <c r="AG141" s="3" t="s">
        <v>1183</v>
      </c>
      <c r="AH141" s="3" t="s">
        <v>1183</v>
      </c>
      <c r="AI141" s="3" t="s">
        <v>1183</v>
      </c>
      <c r="AJ141" s="3" t="s">
        <v>1183</v>
      </c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6">
        <v>55</v>
      </c>
      <c r="BF141" s="6">
        <v>2</v>
      </c>
      <c r="BG141" s="6">
        <v>55</v>
      </c>
    </row>
    <row r="142" spans="1:59" ht="15.75" x14ac:dyDescent="0.25">
      <c r="A142" s="3">
        <v>132</v>
      </c>
      <c r="B142" s="3" t="s">
        <v>546</v>
      </c>
      <c r="C142" s="3" t="s">
        <v>321</v>
      </c>
      <c r="D142" s="3" t="s">
        <v>1441</v>
      </c>
      <c r="E142" s="3" t="s">
        <v>536</v>
      </c>
      <c r="F142" s="3" t="s">
        <v>1444</v>
      </c>
      <c r="G142" s="3" t="s">
        <v>547</v>
      </c>
      <c r="H142" s="3" t="s">
        <v>1445</v>
      </c>
      <c r="I142" s="3"/>
      <c r="J142" s="4" t="s">
        <v>1188</v>
      </c>
      <c r="K142" s="3" t="str">
        <f t="shared" si="7"/>
        <v/>
      </c>
      <c r="L142" s="3"/>
      <c r="M142" s="3"/>
      <c r="N142" s="3" t="b">
        <v>0</v>
      </c>
      <c r="O142" s="3"/>
      <c r="P142" s="3"/>
      <c r="Q142" s="3"/>
      <c r="R142" s="3" t="s">
        <v>1181</v>
      </c>
      <c r="S142" s="3"/>
      <c r="T142" s="3"/>
      <c r="U142" s="3"/>
      <c r="V142" s="3"/>
      <c r="W142" s="3" t="str">
        <f t="shared" si="6"/>
        <v/>
      </c>
      <c r="X142" s="3">
        <v>9</v>
      </c>
      <c r="Y142" s="3">
        <v>0.79000002145767201</v>
      </c>
      <c r="Z142" s="3"/>
      <c r="AA142" s="3" t="str">
        <f t="shared" si="8"/>
        <v>Genus</v>
      </c>
      <c r="AB142" s="3" t="s">
        <v>1183</v>
      </c>
      <c r="AC142" s="3" t="s">
        <v>1183</v>
      </c>
      <c r="AD142" s="3" t="s">
        <v>1183</v>
      </c>
      <c r="AE142" s="3" t="s">
        <v>1183</v>
      </c>
      <c r="AF142" s="5"/>
      <c r="AG142" s="3" t="s">
        <v>1183</v>
      </c>
      <c r="AH142" s="3" t="s">
        <v>1183</v>
      </c>
      <c r="AI142" s="3" t="s">
        <v>1183</v>
      </c>
      <c r="AJ142" s="3" t="s">
        <v>1183</v>
      </c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6">
        <v>38</v>
      </c>
      <c r="BF142" s="6">
        <v>26</v>
      </c>
      <c r="BG142" s="6">
        <v>82</v>
      </c>
    </row>
    <row r="143" spans="1:59" ht="15.75" x14ac:dyDescent="0.25">
      <c r="A143" s="3">
        <v>133</v>
      </c>
      <c r="B143" s="3" t="s">
        <v>556</v>
      </c>
      <c r="C143" s="3" t="s">
        <v>67</v>
      </c>
      <c r="D143" s="3" t="s">
        <v>1446</v>
      </c>
      <c r="E143" s="3" t="s">
        <v>550</v>
      </c>
      <c r="F143" s="3" t="s">
        <v>1447</v>
      </c>
      <c r="G143" s="3" t="s">
        <v>557</v>
      </c>
      <c r="H143" s="3" t="s">
        <v>558</v>
      </c>
      <c r="I143" s="3"/>
      <c r="J143" s="4" t="b">
        <v>0</v>
      </c>
      <c r="K143" s="3">
        <f t="shared" si="7"/>
        <v>10</v>
      </c>
      <c r="L143" s="3"/>
      <c r="M143" s="3"/>
      <c r="N143" s="3" t="b">
        <v>0</v>
      </c>
      <c r="O143" s="3"/>
      <c r="P143" s="3">
        <v>40</v>
      </c>
      <c r="Q143" s="3"/>
      <c r="R143" s="3" t="s">
        <v>1181</v>
      </c>
      <c r="S143" s="3" t="s">
        <v>559</v>
      </c>
      <c r="T143" s="3" t="s">
        <v>26</v>
      </c>
      <c r="U143" s="3" t="b">
        <v>0</v>
      </c>
      <c r="V143" s="3">
        <v>0.80000001192092896</v>
      </c>
      <c r="W143" s="3" t="e">
        <f t="shared" si="6"/>
        <v>#VALUE!</v>
      </c>
      <c r="X143" s="3">
        <v>9</v>
      </c>
      <c r="Y143" s="3">
        <v>0.79000002145767201</v>
      </c>
      <c r="Z143" s="3"/>
      <c r="AA143" s="3" t="str">
        <f t="shared" si="8"/>
        <v>Species</v>
      </c>
      <c r="AB143" s="3" t="s">
        <v>1183</v>
      </c>
      <c r="AC143" s="3" t="s">
        <v>1183</v>
      </c>
      <c r="AD143" s="3" t="s">
        <v>1183</v>
      </c>
      <c r="AE143" s="3" t="s">
        <v>1183</v>
      </c>
      <c r="AF143" s="5">
        <v>10</v>
      </c>
      <c r="AG143" s="3" t="s">
        <v>1183</v>
      </c>
      <c r="AH143" s="3" t="s">
        <v>1183</v>
      </c>
      <c r="AI143" s="3" t="s">
        <v>1183</v>
      </c>
      <c r="AJ143" s="3" t="s">
        <v>1183</v>
      </c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6">
        <v>11.320000171661414</v>
      </c>
      <c r="BF143" s="6">
        <v>470</v>
      </c>
      <c r="BG143" s="6">
        <v>47.9</v>
      </c>
    </row>
    <row r="144" spans="1:59" ht="15.75" x14ac:dyDescent="0.25">
      <c r="A144" s="3">
        <v>134</v>
      </c>
      <c r="B144" s="3" t="s">
        <v>549</v>
      </c>
      <c r="C144" s="3" t="s">
        <v>67</v>
      </c>
      <c r="D144" s="3" t="s">
        <v>1446</v>
      </c>
      <c r="E144" s="3" t="s">
        <v>550</v>
      </c>
      <c r="F144" s="3" t="s">
        <v>1448</v>
      </c>
      <c r="G144" s="3" t="s">
        <v>551</v>
      </c>
      <c r="H144" s="3" t="s">
        <v>552</v>
      </c>
      <c r="I144" s="3" t="s">
        <v>1449</v>
      </c>
      <c r="J144" s="4" t="b">
        <v>0</v>
      </c>
      <c r="K144" s="3">
        <f t="shared" si="7"/>
        <v>20</v>
      </c>
      <c r="L144" s="3"/>
      <c r="M144" s="3"/>
      <c r="N144" s="3" t="b">
        <v>1</v>
      </c>
      <c r="O144" s="3"/>
      <c r="P144" s="3">
        <v>40</v>
      </c>
      <c r="Q144" s="3"/>
      <c r="R144" s="3" t="s">
        <v>1181</v>
      </c>
      <c r="S144" s="3" t="s">
        <v>292</v>
      </c>
      <c r="T144" s="3" t="s">
        <v>26</v>
      </c>
      <c r="U144" s="3" t="b">
        <v>0</v>
      </c>
      <c r="V144" s="3">
        <v>0.81000000238418601</v>
      </c>
      <c r="W144" s="3" t="e">
        <f t="shared" si="6"/>
        <v>#VALUE!</v>
      </c>
      <c r="X144" s="3">
        <v>9</v>
      </c>
      <c r="Y144" s="3">
        <v>0.79000002145767201</v>
      </c>
      <c r="Z144" s="3"/>
      <c r="AA144" s="3" t="str">
        <f t="shared" si="8"/>
        <v>Species</v>
      </c>
      <c r="AB144" s="3" t="s">
        <v>1183</v>
      </c>
      <c r="AC144" s="3">
        <v>20</v>
      </c>
      <c r="AD144" s="3" t="s">
        <v>1450</v>
      </c>
      <c r="AE144" s="3" t="s">
        <v>1183</v>
      </c>
      <c r="AF144" s="5">
        <v>20</v>
      </c>
      <c r="AG144" s="3" t="s">
        <v>1183</v>
      </c>
      <c r="AH144" s="3" t="s">
        <v>1183</v>
      </c>
      <c r="AI144" s="3" t="s">
        <v>1183</v>
      </c>
      <c r="AJ144" s="3" t="s">
        <v>1183</v>
      </c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>
        <v>30</v>
      </c>
      <c r="AX144" s="3">
        <v>40</v>
      </c>
      <c r="AY144" s="3">
        <v>12</v>
      </c>
      <c r="AZ144" s="3">
        <v>15</v>
      </c>
      <c r="BA144" s="3"/>
      <c r="BB144" s="3"/>
      <c r="BC144" s="3" t="s">
        <v>1451</v>
      </c>
      <c r="BD144" s="3"/>
      <c r="BE144" s="6">
        <v>19</v>
      </c>
      <c r="BF144" s="6">
        <v>7035</v>
      </c>
      <c r="BG144" s="6">
        <v>100</v>
      </c>
    </row>
    <row r="145" spans="1:59" ht="15.75" x14ac:dyDescent="0.25">
      <c r="A145" s="3">
        <v>135</v>
      </c>
      <c r="B145" s="3" t="s">
        <v>553</v>
      </c>
      <c r="C145" s="3" t="s">
        <v>67</v>
      </c>
      <c r="D145" s="3" t="s">
        <v>1446</v>
      </c>
      <c r="E145" s="3" t="s">
        <v>550</v>
      </c>
      <c r="F145" s="3" t="s">
        <v>1452</v>
      </c>
      <c r="G145" s="3" t="s">
        <v>554</v>
      </c>
      <c r="H145" s="3" t="s">
        <v>1453</v>
      </c>
      <c r="I145" s="3"/>
      <c r="J145" s="4" t="s">
        <v>1188</v>
      </c>
      <c r="K145" s="3" t="str">
        <f t="shared" si="7"/>
        <v/>
      </c>
      <c r="L145" s="3"/>
      <c r="M145" s="3"/>
      <c r="N145" s="3" t="b">
        <v>0</v>
      </c>
      <c r="O145" s="3"/>
      <c r="P145" s="3"/>
      <c r="Q145" s="3"/>
      <c r="R145" s="3" t="s">
        <v>1181</v>
      </c>
      <c r="S145" s="3"/>
      <c r="T145" s="3"/>
      <c r="U145" s="3"/>
      <c r="V145" s="3"/>
      <c r="W145" s="3" t="str">
        <f t="shared" si="6"/>
        <v/>
      </c>
      <c r="X145" s="3">
        <v>9</v>
      </c>
      <c r="Y145" s="3">
        <v>0.79000002145767201</v>
      </c>
      <c r="Z145" s="3"/>
      <c r="AA145" s="3" t="str">
        <f t="shared" si="8"/>
        <v>Genus</v>
      </c>
      <c r="AB145" s="3" t="s">
        <v>1183</v>
      </c>
      <c r="AC145" s="3" t="s">
        <v>1183</v>
      </c>
      <c r="AD145" s="3" t="s">
        <v>1183</v>
      </c>
      <c r="AE145" s="3" t="s">
        <v>1183</v>
      </c>
      <c r="AF145" s="5"/>
      <c r="AG145" s="3" t="s">
        <v>1183</v>
      </c>
      <c r="AH145" s="3" t="s">
        <v>1183</v>
      </c>
      <c r="AI145" s="3" t="s">
        <v>1183</v>
      </c>
      <c r="AJ145" s="3" t="s">
        <v>1183</v>
      </c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6">
        <v>12.820000000000009</v>
      </c>
      <c r="BF145" s="6">
        <v>297</v>
      </c>
      <c r="BG145" s="6">
        <v>40</v>
      </c>
    </row>
    <row r="146" spans="1:59" ht="15.75" x14ac:dyDescent="0.25">
      <c r="A146" s="3">
        <v>136</v>
      </c>
      <c r="B146" s="3" t="s">
        <v>568</v>
      </c>
      <c r="C146" s="3" t="s">
        <v>561</v>
      </c>
      <c r="D146" s="3" t="s">
        <v>1222</v>
      </c>
      <c r="E146" s="3" t="s">
        <v>562</v>
      </c>
      <c r="F146" s="3" t="s">
        <v>1454</v>
      </c>
      <c r="G146" s="3" t="s">
        <v>569</v>
      </c>
      <c r="H146" s="3" t="s">
        <v>570</v>
      </c>
      <c r="I146" s="3"/>
      <c r="J146" s="4" t="b">
        <v>0</v>
      </c>
      <c r="K146" s="3" t="str">
        <f t="shared" si="7"/>
        <v/>
      </c>
      <c r="L146" s="3"/>
      <c r="M146" s="3"/>
      <c r="N146" s="3" t="b">
        <v>0</v>
      </c>
      <c r="O146" s="3"/>
      <c r="P146" s="3">
        <v>40</v>
      </c>
      <c r="Q146" s="3"/>
      <c r="R146" s="3" t="s">
        <v>1181</v>
      </c>
      <c r="S146" s="3" t="s">
        <v>65</v>
      </c>
      <c r="T146" s="3" t="s">
        <v>26</v>
      </c>
      <c r="U146" s="3" t="b">
        <v>0</v>
      </c>
      <c r="V146" s="3">
        <v>0.60000002384185802</v>
      </c>
      <c r="W146" s="3" t="e">
        <f t="shared" si="6"/>
        <v>#VALUE!</v>
      </c>
      <c r="X146" s="3">
        <v>9</v>
      </c>
      <c r="Y146" s="3">
        <v>0.87999999523162797</v>
      </c>
      <c r="Z146" s="3"/>
      <c r="AA146" s="3" t="str">
        <f t="shared" si="8"/>
        <v>Species</v>
      </c>
      <c r="AB146" s="3" t="s">
        <v>1183</v>
      </c>
      <c r="AC146" s="3" t="s">
        <v>1183</v>
      </c>
      <c r="AD146" s="3" t="s">
        <v>1183</v>
      </c>
      <c r="AE146" s="3" t="s">
        <v>1183</v>
      </c>
      <c r="AF146" s="5" t="s">
        <v>1183</v>
      </c>
      <c r="AG146" s="3" t="s">
        <v>1183</v>
      </c>
      <c r="AH146" s="3" t="s">
        <v>1183</v>
      </c>
      <c r="AI146" s="3" t="s">
        <v>1183</v>
      </c>
      <c r="AJ146" s="3" t="s">
        <v>1183</v>
      </c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6">
        <v>50.160000000000004</v>
      </c>
      <c r="BF146" s="6">
        <v>7</v>
      </c>
      <c r="BG146" s="6">
        <v>51</v>
      </c>
    </row>
    <row r="147" spans="1:59" ht="15.75" x14ac:dyDescent="0.25">
      <c r="A147" s="3">
        <v>137</v>
      </c>
      <c r="B147" s="3" t="s">
        <v>578</v>
      </c>
      <c r="C147" s="3" t="s">
        <v>561</v>
      </c>
      <c r="D147" s="3" t="s">
        <v>1222</v>
      </c>
      <c r="E147" s="3" t="s">
        <v>562</v>
      </c>
      <c r="F147" s="3" t="s">
        <v>1455</v>
      </c>
      <c r="G147" s="3" t="s">
        <v>579</v>
      </c>
      <c r="H147" s="3" t="s">
        <v>580</v>
      </c>
      <c r="I147" s="3"/>
      <c r="J147" s="4" t="b">
        <v>0</v>
      </c>
      <c r="K147" s="3" t="str">
        <f t="shared" si="7"/>
        <v/>
      </c>
      <c r="L147" s="3"/>
      <c r="M147" s="3"/>
      <c r="N147" s="3" t="b">
        <v>0</v>
      </c>
      <c r="O147" s="3"/>
      <c r="P147" s="3">
        <v>40</v>
      </c>
      <c r="Q147" s="3"/>
      <c r="R147" s="3" t="s">
        <v>1181</v>
      </c>
      <c r="S147" s="3"/>
      <c r="T147" s="3" t="s">
        <v>26</v>
      </c>
      <c r="U147" s="3" t="b">
        <v>0</v>
      </c>
      <c r="V147" s="3">
        <v>0.60000002384185802</v>
      </c>
      <c r="W147" s="3" t="str">
        <f t="shared" si="6"/>
        <v/>
      </c>
      <c r="X147" s="3">
        <v>9</v>
      </c>
      <c r="Y147" s="3">
        <v>0.87999999523162797</v>
      </c>
      <c r="Z147" s="3"/>
      <c r="AA147" s="3" t="str">
        <f t="shared" si="8"/>
        <v>Species</v>
      </c>
      <c r="AB147" s="3" t="s">
        <v>1183</v>
      </c>
      <c r="AC147" s="3" t="s">
        <v>1183</v>
      </c>
      <c r="AD147" s="3" t="s">
        <v>1183</v>
      </c>
      <c r="AE147" s="3" t="s">
        <v>1183</v>
      </c>
      <c r="AF147" s="5" t="s">
        <v>1183</v>
      </c>
      <c r="AG147" s="3" t="s">
        <v>1183</v>
      </c>
      <c r="AH147" s="3" t="s">
        <v>1183</v>
      </c>
      <c r="AI147" s="3" t="s">
        <v>1183</v>
      </c>
      <c r="AJ147" s="3" t="s">
        <v>1183</v>
      </c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6">
        <v>46</v>
      </c>
      <c r="BF147" s="6">
        <v>11</v>
      </c>
      <c r="BG147" s="6">
        <v>53</v>
      </c>
    </row>
    <row r="148" spans="1:59" ht="15.75" x14ac:dyDescent="0.25">
      <c r="A148" s="3">
        <v>138</v>
      </c>
      <c r="B148" s="3" t="s">
        <v>581</v>
      </c>
      <c r="C148" s="3" t="s">
        <v>561</v>
      </c>
      <c r="D148" s="3" t="s">
        <v>1222</v>
      </c>
      <c r="E148" s="3" t="s">
        <v>562</v>
      </c>
      <c r="F148" s="3" t="s">
        <v>1456</v>
      </c>
      <c r="G148" s="3" t="s">
        <v>582</v>
      </c>
      <c r="H148" s="3" t="s">
        <v>583</v>
      </c>
      <c r="I148" s="3"/>
      <c r="J148" s="4" t="b">
        <v>0</v>
      </c>
      <c r="K148" s="3" t="str">
        <f t="shared" si="7"/>
        <v/>
      </c>
      <c r="L148" s="3"/>
      <c r="M148" s="3"/>
      <c r="N148" s="3" t="b">
        <v>0</v>
      </c>
      <c r="O148" s="3"/>
      <c r="P148" s="3">
        <v>40</v>
      </c>
      <c r="Q148" s="3"/>
      <c r="R148" s="3" t="s">
        <v>1181</v>
      </c>
      <c r="S148" s="3"/>
      <c r="T148" s="3" t="s">
        <v>26</v>
      </c>
      <c r="U148" s="3" t="b">
        <v>0</v>
      </c>
      <c r="V148" s="3">
        <v>0.60000002384185802</v>
      </c>
      <c r="W148" s="3" t="str">
        <f t="shared" si="6"/>
        <v/>
      </c>
      <c r="X148" s="3">
        <v>9</v>
      </c>
      <c r="Y148" s="3">
        <v>0.87999999523162797</v>
      </c>
      <c r="Z148" s="3"/>
      <c r="AA148" s="3" t="str">
        <f t="shared" si="8"/>
        <v>Species</v>
      </c>
      <c r="AB148" s="3" t="s">
        <v>1183</v>
      </c>
      <c r="AC148" s="3" t="s">
        <v>1183</v>
      </c>
      <c r="AD148" s="3" t="s">
        <v>1183</v>
      </c>
      <c r="AE148" s="3" t="s">
        <v>1183</v>
      </c>
      <c r="AF148" s="5" t="s">
        <v>1183</v>
      </c>
      <c r="AG148" s="3" t="s">
        <v>1183</v>
      </c>
      <c r="AH148" s="3" t="s">
        <v>1183</v>
      </c>
      <c r="AI148" s="3" t="s">
        <v>1183</v>
      </c>
      <c r="AJ148" s="3" t="s">
        <v>1183</v>
      </c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6">
        <v>46.7</v>
      </c>
      <c r="BF148" s="6">
        <v>6</v>
      </c>
      <c r="BG148" s="6">
        <v>51</v>
      </c>
    </row>
    <row r="149" spans="1:59" ht="15.75" x14ac:dyDescent="0.25">
      <c r="A149" s="3">
        <v>139</v>
      </c>
      <c r="B149" s="3" t="s">
        <v>565</v>
      </c>
      <c r="C149" s="3" t="s">
        <v>561</v>
      </c>
      <c r="D149" s="3" t="s">
        <v>1222</v>
      </c>
      <c r="E149" s="3" t="s">
        <v>562</v>
      </c>
      <c r="F149" s="3" t="s">
        <v>1457</v>
      </c>
      <c r="G149" s="3" t="s">
        <v>566</v>
      </c>
      <c r="H149" s="3" t="s">
        <v>567</v>
      </c>
      <c r="I149" s="3"/>
      <c r="J149" s="4" t="b">
        <v>0</v>
      </c>
      <c r="K149" s="3">
        <f t="shared" si="7"/>
        <v>60</v>
      </c>
      <c r="L149" s="3"/>
      <c r="M149" s="3"/>
      <c r="N149" s="3" t="b">
        <v>1</v>
      </c>
      <c r="O149" s="3"/>
      <c r="P149" s="3">
        <v>40</v>
      </c>
      <c r="Q149" s="3"/>
      <c r="R149" s="3" t="s">
        <v>1181</v>
      </c>
      <c r="S149" s="3" t="s">
        <v>65</v>
      </c>
      <c r="T149" s="3" t="s">
        <v>26</v>
      </c>
      <c r="U149" s="3" t="b">
        <v>0</v>
      </c>
      <c r="V149" s="3">
        <v>0.69999998807907104</v>
      </c>
      <c r="W149" s="3" t="e">
        <f t="shared" si="6"/>
        <v>#VALUE!</v>
      </c>
      <c r="X149" s="3">
        <v>9</v>
      </c>
      <c r="Y149" s="3">
        <v>0.87999999523162797</v>
      </c>
      <c r="Z149" s="3"/>
      <c r="AA149" s="3" t="str">
        <f t="shared" si="8"/>
        <v>Species</v>
      </c>
      <c r="AB149" s="3" t="s">
        <v>1183</v>
      </c>
      <c r="AC149" s="3" t="s">
        <v>1183</v>
      </c>
      <c r="AD149" s="3" t="s">
        <v>1183</v>
      </c>
      <c r="AE149" s="3">
        <v>69</v>
      </c>
      <c r="AF149" s="5">
        <v>60</v>
      </c>
      <c r="AG149" s="3" t="s">
        <v>1183</v>
      </c>
      <c r="AH149" s="3" t="s">
        <v>1183</v>
      </c>
      <c r="AI149" s="3" t="s">
        <v>1183</v>
      </c>
      <c r="AJ149" s="3" t="s">
        <v>1183</v>
      </c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6">
        <v>62</v>
      </c>
      <c r="BF149" s="6">
        <v>13636</v>
      </c>
      <c r="BG149" s="6">
        <v>198</v>
      </c>
    </row>
    <row r="150" spans="1:59" ht="15.75" x14ac:dyDescent="0.25">
      <c r="A150" s="3">
        <v>140</v>
      </c>
      <c r="B150" s="3" t="s">
        <v>574</v>
      </c>
      <c r="C150" s="3" t="s">
        <v>561</v>
      </c>
      <c r="D150" s="3" t="s">
        <v>1222</v>
      </c>
      <c r="E150" s="3" t="s">
        <v>562</v>
      </c>
      <c r="F150" s="3" t="s">
        <v>1458</v>
      </c>
      <c r="G150" s="3" t="s">
        <v>575</v>
      </c>
      <c r="H150" s="3" t="s">
        <v>576</v>
      </c>
      <c r="I150" s="3"/>
      <c r="J150" s="4" t="b">
        <v>0</v>
      </c>
      <c r="K150" s="3" t="str">
        <f t="shared" si="7"/>
        <v/>
      </c>
      <c r="L150" s="3"/>
      <c r="M150" s="3"/>
      <c r="N150" s="3" t="b">
        <v>0</v>
      </c>
      <c r="O150" s="3"/>
      <c r="P150" s="3">
        <v>40</v>
      </c>
      <c r="Q150" s="3"/>
      <c r="R150" s="3" t="s">
        <v>1181</v>
      </c>
      <c r="S150" s="3" t="s">
        <v>577</v>
      </c>
      <c r="T150" s="3" t="s">
        <v>26</v>
      </c>
      <c r="U150" s="3" t="b">
        <v>0</v>
      </c>
      <c r="V150" s="3">
        <v>0.60000002384185802</v>
      </c>
      <c r="W150" s="3" t="e">
        <f t="shared" si="6"/>
        <v>#VALUE!</v>
      </c>
      <c r="X150" s="3">
        <v>9</v>
      </c>
      <c r="Y150" s="3">
        <v>0.87999999523162797</v>
      </c>
      <c r="Z150" s="3"/>
      <c r="AA150" s="3" t="str">
        <f t="shared" si="8"/>
        <v>Species</v>
      </c>
      <c r="AB150" s="3" t="s">
        <v>1183</v>
      </c>
      <c r="AC150" s="3" t="s">
        <v>1183</v>
      </c>
      <c r="AD150" s="3" t="s">
        <v>1183</v>
      </c>
      <c r="AE150" s="3" t="s">
        <v>1183</v>
      </c>
      <c r="AF150" s="5" t="s">
        <v>1183</v>
      </c>
      <c r="AG150" s="3" t="s">
        <v>1183</v>
      </c>
      <c r="AH150" s="3" t="s">
        <v>1183</v>
      </c>
      <c r="AI150" s="3" t="s">
        <v>1183</v>
      </c>
      <c r="AJ150" s="3" t="s">
        <v>1183</v>
      </c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6">
        <v>5</v>
      </c>
      <c r="BF150" s="6">
        <v>1</v>
      </c>
      <c r="BG150" s="6">
        <v>5</v>
      </c>
    </row>
    <row r="151" spans="1:59" ht="15.75" x14ac:dyDescent="0.25">
      <c r="A151" s="3">
        <v>141</v>
      </c>
      <c r="B151" s="3" t="s">
        <v>571</v>
      </c>
      <c r="C151" s="3" t="s">
        <v>561</v>
      </c>
      <c r="D151" s="3" t="s">
        <v>1222</v>
      </c>
      <c r="E151" s="3" t="s">
        <v>562</v>
      </c>
      <c r="F151" s="3" t="s">
        <v>1459</v>
      </c>
      <c r="G151" s="3" t="s">
        <v>572</v>
      </c>
      <c r="H151" s="3" t="s">
        <v>1460</v>
      </c>
      <c r="I151" s="3"/>
      <c r="J151" s="4" t="s">
        <v>1188</v>
      </c>
      <c r="K151" s="3" t="str">
        <f t="shared" si="7"/>
        <v/>
      </c>
      <c r="L151" s="3"/>
      <c r="M151" s="3"/>
      <c r="N151" s="3" t="b">
        <v>0</v>
      </c>
      <c r="O151" s="3"/>
      <c r="P151" s="3"/>
      <c r="Q151" s="3"/>
      <c r="R151" s="3" t="s">
        <v>1181</v>
      </c>
      <c r="S151" s="3"/>
      <c r="T151" s="3"/>
      <c r="U151" s="3"/>
      <c r="V151" s="3"/>
      <c r="W151" s="3" t="str">
        <f t="shared" si="6"/>
        <v/>
      </c>
      <c r="X151" s="3">
        <v>9</v>
      </c>
      <c r="Y151" s="3">
        <v>0.87999999523162797</v>
      </c>
      <c r="Z151" s="3"/>
      <c r="AA151" s="3" t="str">
        <f t="shared" si="8"/>
        <v>Genus</v>
      </c>
      <c r="AB151" s="3" t="s">
        <v>1183</v>
      </c>
      <c r="AC151" s="3" t="s">
        <v>1183</v>
      </c>
      <c r="AD151" s="3" t="s">
        <v>1183</v>
      </c>
      <c r="AE151" s="3" t="s">
        <v>1183</v>
      </c>
      <c r="AF151" s="5"/>
      <c r="AG151" s="3" t="s">
        <v>1183</v>
      </c>
      <c r="AH151" s="3" t="s">
        <v>1183</v>
      </c>
      <c r="AI151" s="3" t="s">
        <v>1183</v>
      </c>
      <c r="AJ151" s="3" t="s">
        <v>1183</v>
      </c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6">
        <v>57</v>
      </c>
      <c r="BF151" s="6">
        <v>394</v>
      </c>
      <c r="BG151" s="6">
        <v>110</v>
      </c>
    </row>
    <row r="152" spans="1:59" ht="15.75" x14ac:dyDescent="0.25">
      <c r="A152" s="3">
        <v>142</v>
      </c>
      <c r="B152" s="3" t="s">
        <v>140</v>
      </c>
      <c r="C152" s="3" t="s">
        <v>141</v>
      </c>
      <c r="D152" s="3" t="s">
        <v>1461</v>
      </c>
      <c r="E152" s="3" t="s">
        <v>142</v>
      </c>
      <c r="F152" s="3" t="s">
        <v>1462</v>
      </c>
      <c r="G152" s="3" t="s">
        <v>142</v>
      </c>
      <c r="H152" s="3" t="s">
        <v>143</v>
      </c>
      <c r="I152" s="3"/>
      <c r="J152" s="4" t="b">
        <v>0</v>
      </c>
      <c r="K152" s="3">
        <f t="shared" si="7"/>
        <v>60</v>
      </c>
      <c r="L152" s="3"/>
      <c r="M152" s="3"/>
      <c r="N152" s="3" t="b">
        <v>1</v>
      </c>
      <c r="O152" s="3"/>
      <c r="P152" s="3">
        <v>64.5</v>
      </c>
      <c r="Q152" s="3" t="s">
        <v>1463</v>
      </c>
      <c r="R152" s="3" t="s">
        <v>1181</v>
      </c>
      <c r="S152" s="3" t="s">
        <v>144</v>
      </c>
      <c r="T152" s="3" t="s">
        <v>26</v>
      </c>
      <c r="U152" s="3" t="b">
        <v>0</v>
      </c>
      <c r="V152" s="3">
        <v>0.56000000238418601</v>
      </c>
      <c r="W152" s="3" t="e">
        <f t="shared" si="6"/>
        <v>#VALUE!</v>
      </c>
      <c r="X152" s="3">
        <v>9</v>
      </c>
      <c r="Y152" s="3">
        <v>0.79000002145767201</v>
      </c>
      <c r="Z152" s="3"/>
      <c r="AA152" s="3" t="str">
        <f t="shared" si="8"/>
        <v>Species</v>
      </c>
      <c r="AB152" s="3">
        <v>60</v>
      </c>
      <c r="AC152" s="3">
        <v>60</v>
      </c>
      <c r="AD152" s="3" t="s">
        <v>1208</v>
      </c>
      <c r="AE152" s="3">
        <v>60</v>
      </c>
      <c r="AF152" s="5">
        <v>60</v>
      </c>
      <c r="AG152" s="3" t="s">
        <v>1464</v>
      </c>
      <c r="AH152" s="3">
        <v>30</v>
      </c>
      <c r="AI152" s="3">
        <v>60</v>
      </c>
      <c r="AJ152" s="3">
        <v>9</v>
      </c>
      <c r="AK152" s="3">
        <v>15</v>
      </c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6">
        <v>63</v>
      </c>
      <c r="BF152" s="6">
        <v>698</v>
      </c>
      <c r="BG152" s="6">
        <v>125</v>
      </c>
    </row>
    <row r="153" spans="1:59" ht="15.75" x14ac:dyDescent="0.25">
      <c r="A153" s="3">
        <v>143</v>
      </c>
      <c r="B153" s="3" t="s">
        <v>473</v>
      </c>
      <c r="C153" s="3" t="s">
        <v>141</v>
      </c>
      <c r="D153" s="3" t="s">
        <v>1465</v>
      </c>
      <c r="E153" s="3" t="s">
        <v>474</v>
      </c>
      <c r="F153" s="3" t="s">
        <v>1466</v>
      </c>
      <c r="G153" s="3" t="s">
        <v>474</v>
      </c>
      <c r="H153" s="3" t="s">
        <v>475</v>
      </c>
      <c r="I153" s="3"/>
      <c r="J153" s="4" t="b">
        <v>0</v>
      </c>
      <c r="K153" s="3">
        <f t="shared" si="7"/>
        <v>80</v>
      </c>
      <c r="L153" s="3"/>
      <c r="M153" s="3"/>
      <c r="N153" s="3" t="b">
        <v>1</v>
      </c>
      <c r="O153" s="3"/>
      <c r="P153" s="3">
        <v>66.900001525878906</v>
      </c>
      <c r="Q153" s="3" t="s">
        <v>1249</v>
      </c>
      <c r="R153" s="3" t="s">
        <v>1181</v>
      </c>
      <c r="S153" s="3" t="s">
        <v>286</v>
      </c>
      <c r="T153" s="3" t="s">
        <v>26</v>
      </c>
      <c r="U153" s="3" t="b">
        <v>1</v>
      </c>
      <c r="V153" s="3">
        <v>0.66000002622604403</v>
      </c>
      <c r="W153" s="3" t="e">
        <f t="shared" si="6"/>
        <v>#VALUE!</v>
      </c>
      <c r="X153" s="3">
        <v>9</v>
      </c>
      <c r="Y153" s="3">
        <v>0.67000001668930098</v>
      </c>
      <c r="Z153" s="3"/>
      <c r="AA153" s="3" t="str">
        <f t="shared" si="8"/>
        <v>Species</v>
      </c>
      <c r="AB153" s="3">
        <v>90</v>
      </c>
      <c r="AC153" s="3">
        <v>100</v>
      </c>
      <c r="AD153" s="3" t="s">
        <v>1208</v>
      </c>
      <c r="AE153" s="3">
        <v>90</v>
      </c>
      <c r="AF153" s="5">
        <v>80</v>
      </c>
      <c r="AG153" s="3" t="s">
        <v>1467</v>
      </c>
      <c r="AH153" s="3">
        <v>60</v>
      </c>
      <c r="AI153" s="3">
        <v>100</v>
      </c>
      <c r="AJ153" s="3">
        <v>15</v>
      </c>
      <c r="AK153" s="3">
        <v>25</v>
      </c>
      <c r="AL153" s="3"/>
      <c r="AM153" s="3"/>
      <c r="AN153" s="3"/>
      <c r="AO153" s="3"/>
      <c r="AP153" s="3"/>
      <c r="AQ153" s="3"/>
      <c r="AR153" s="3"/>
      <c r="AS153" s="3">
        <v>90</v>
      </c>
      <c r="AT153" s="3"/>
      <c r="AU153" s="3">
        <v>30</v>
      </c>
      <c r="AV153" s="3"/>
      <c r="AW153" s="3"/>
      <c r="AX153" s="3"/>
      <c r="AY153" s="3"/>
      <c r="AZ153" s="3"/>
      <c r="BA153" s="3"/>
      <c r="BB153" s="3"/>
      <c r="BC153" s="3"/>
      <c r="BD153" s="3"/>
      <c r="BE153" s="6">
        <v>39.5</v>
      </c>
      <c r="BF153" s="6">
        <v>13829</v>
      </c>
      <c r="BG153" s="6">
        <v>105</v>
      </c>
    </row>
    <row r="154" spans="1:59" ht="15.75" x14ac:dyDescent="0.25">
      <c r="A154" s="3">
        <v>144</v>
      </c>
      <c r="B154" s="3" t="s">
        <v>592</v>
      </c>
      <c r="C154" s="3" t="s">
        <v>593</v>
      </c>
      <c r="D154" s="3" t="s">
        <v>1326</v>
      </c>
      <c r="E154" s="3" t="s">
        <v>594</v>
      </c>
      <c r="F154" s="3" t="s">
        <v>1468</v>
      </c>
      <c r="G154" s="3" t="s">
        <v>595</v>
      </c>
      <c r="H154" s="3" t="s">
        <v>596</v>
      </c>
      <c r="I154" s="3"/>
      <c r="J154" s="4" t="b">
        <v>0</v>
      </c>
      <c r="K154" s="3" t="str">
        <f t="shared" si="7"/>
        <v/>
      </c>
      <c r="L154" s="3"/>
      <c r="M154" s="3"/>
      <c r="N154" s="3" t="b">
        <v>0</v>
      </c>
      <c r="O154" s="3"/>
      <c r="P154" s="3">
        <v>40</v>
      </c>
      <c r="Q154" s="3"/>
      <c r="R154" s="3" t="s">
        <v>1181</v>
      </c>
      <c r="S154" s="3"/>
      <c r="T154" s="3" t="s">
        <v>26</v>
      </c>
      <c r="U154" s="3" t="b">
        <v>0</v>
      </c>
      <c r="V154" s="3">
        <v>0.69999998807907104</v>
      </c>
      <c r="W154" s="3" t="str">
        <f t="shared" si="6"/>
        <v/>
      </c>
      <c r="X154" s="3">
        <v>9</v>
      </c>
      <c r="Y154" s="3">
        <v>0.79000002145767201</v>
      </c>
      <c r="Z154" s="3"/>
      <c r="AA154" s="3" t="str">
        <f t="shared" si="8"/>
        <v>Species</v>
      </c>
      <c r="AB154" s="3" t="s">
        <v>1183</v>
      </c>
      <c r="AC154" s="3" t="s">
        <v>1183</v>
      </c>
      <c r="AD154" s="3" t="s">
        <v>1183</v>
      </c>
      <c r="AE154" s="3" t="s">
        <v>1183</v>
      </c>
      <c r="AF154" s="5" t="s">
        <v>1183</v>
      </c>
      <c r="AG154" s="3" t="s">
        <v>1183</v>
      </c>
      <c r="AH154" s="3" t="s">
        <v>1183</v>
      </c>
      <c r="AI154" s="3" t="s">
        <v>1183</v>
      </c>
      <c r="AJ154" s="3" t="s">
        <v>1183</v>
      </c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6">
        <v>8.7100000000000009</v>
      </c>
      <c r="BF154" s="6">
        <v>44</v>
      </c>
      <c r="BG154" s="6">
        <v>90</v>
      </c>
    </row>
    <row r="155" spans="1:59" ht="15.75" x14ac:dyDescent="0.25">
      <c r="A155" s="3">
        <v>145</v>
      </c>
      <c r="B155" s="3" t="s">
        <v>600</v>
      </c>
      <c r="C155" s="3" t="s">
        <v>593</v>
      </c>
      <c r="D155" s="3" t="s">
        <v>1326</v>
      </c>
      <c r="E155" s="3" t="s">
        <v>594</v>
      </c>
      <c r="F155" s="3" t="s">
        <v>1469</v>
      </c>
      <c r="G155" s="3" t="s">
        <v>601</v>
      </c>
      <c r="H155" s="3" t="s">
        <v>1693</v>
      </c>
      <c r="I155" s="3"/>
      <c r="J155" s="4" t="s">
        <v>1188</v>
      </c>
      <c r="K155" s="3" t="str">
        <f t="shared" si="7"/>
        <v/>
      </c>
      <c r="L155" s="3"/>
      <c r="M155" s="3"/>
      <c r="N155" s="3" t="b">
        <v>0</v>
      </c>
      <c r="O155" s="3"/>
      <c r="P155" s="3"/>
      <c r="Q155" s="3"/>
      <c r="R155" s="3" t="s">
        <v>1181</v>
      </c>
      <c r="S155" s="3"/>
      <c r="T155" s="3"/>
      <c r="U155" s="3"/>
      <c r="V155" s="3"/>
      <c r="W155" s="3" t="str">
        <f t="shared" si="6"/>
        <v/>
      </c>
      <c r="X155" s="3"/>
      <c r="Y155" s="3">
        <v>0.79</v>
      </c>
      <c r="Z155" s="3"/>
      <c r="AA155" s="3" t="str">
        <f t="shared" si="8"/>
        <v>Genus</v>
      </c>
      <c r="AB155" s="3" t="s">
        <v>1183</v>
      </c>
      <c r="AC155" s="3" t="s">
        <v>1183</v>
      </c>
      <c r="AD155" s="3" t="s">
        <v>1183</v>
      </c>
      <c r="AE155" s="3" t="s">
        <v>1183</v>
      </c>
      <c r="AF155" s="5"/>
      <c r="AG155" s="3" t="s">
        <v>1183</v>
      </c>
      <c r="AH155" s="3" t="s">
        <v>1183</v>
      </c>
      <c r="AI155" s="3" t="s">
        <v>1183</v>
      </c>
      <c r="AJ155" s="3" t="s">
        <v>1183</v>
      </c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6">
        <v>30</v>
      </c>
      <c r="BF155" s="6">
        <v>114</v>
      </c>
      <c r="BG155" s="6">
        <v>80</v>
      </c>
    </row>
    <row r="156" spans="1:59" ht="15.75" x14ac:dyDescent="0.25">
      <c r="A156" s="3">
        <v>146</v>
      </c>
      <c r="B156" s="3" t="s">
        <v>603</v>
      </c>
      <c r="C156" s="3" t="s">
        <v>593</v>
      </c>
      <c r="D156" s="3" t="s">
        <v>1326</v>
      </c>
      <c r="E156" s="3" t="s">
        <v>594</v>
      </c>
      <c r="F156" s="3" t="s">
        <v>1470</v>
      </c>
      <c r="G156" s="3" t="s">
        <v>604</v>
      </c>
      <c r="H156" s="3" t="s">
        <v>605</v>
      </c>
      <c r="I156" s="3" t="s">
        <v>1471</v>
      </c>
      <c r="J156" s="4" t="b">
        <v>0</v>
      </c>
      <c r="K156" s="3" t="str">
        <f t="shared" si="7"/>
        <v/>
      </c>
      <c r="L156" s="3"/>
      <c r="M156" s="3"/>
      <c r="N156" s="3" t="b">
        <v>0</v>
      </c>
      <c r="O156" s="3"/>
      <c r="P156" s="3">
        <v>40</v>
      </c>
      <c r="Q156" s="3"/>
      <c r="R156" s="3" t="s">
        <v>1181</v>
      </c>
      <c r="S156" s="3"/>
      <c r="T156" s="3" t="s">
        <v>26</v>
      </c>
      <c r="U156" s="3" t="b">
        <v>0</v>
      </c>
      <c r="V156" s="3">
        <v>0.69999998807907104</v>
      </c>
      <c r="W156" s="3" t="str">
        <f t="shared" si="6"/>
        <v/>
      </c>
      <c r="X156" s="3">
        <v>9</v>
      </c>
      <c r="Y156" s="3">
        <v>0.79000002145767201</v>
      </c>
      <c r="Z156" s="3"/>
      <c r="AA156" s="3" t="str">
        <f t="shared" si="8"/>
        <v>Species</v>
      </c>
      <c r="AB156" s="3" t="s">
        <v>1183</v>
      </c>
      <c r="AC156" s="3" t="s">
        <v>1183</v>
      </c>
      <c r="AD156" s="3" t="s">
        <v>1183</v>
      </c>
      <c r="AE156" s="3" t="s">
        <v>1183</v>
      </c>
      <c r="AF156" s="5" t="s">
        <v>1183</v>
      </c>
      <c r="AG156" s="3" t="s">
        <v>1183</v>
      </c>
      <c r="AH156" s="3" t="s">
        <v>1183</v>
      </c>
      <c r="AI156" s="3" t="s">
        <v>1183</v>
      </c>
      <c r="AJ156" s="3" t="s">
        <v>1183</v>
      </c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6">
        <v>9.8000000000000007</v>
      </c>
      <c r="BF156" s="6">
        <v>1</v>
      </c>
      <c r="BG156" s="6">
        <v>9.8000000000000007</v>
      </c>
    </row>
    <row r="157" spans="1:59" ht="15.75" x14ac:dyDescent="0.25">
      <c r="A157" s="3">
        <v>147</v>
      </c>
      <c r="B157" s="3" t="s">
        <v>606</v>
      </c>
      <c r="C157" s="3" t="s">
        <v>593</v>
      </c>
      <c r="D157" s="3" t="s">
        <v>1326</v>
      </c>
      <c r="E157" s="3" t="s">
        <v>594</v>
      </c>
      <c r="F157" s="3" t="s">
        <v>1472</v>
      </c>
      <c r="G157" s="3" t="s">
        <v>607</v>
      </c>
      <c r="H157" s="3" t="s">
        <v>608</v>
      </c>
      <c r="I157" s="3"/>
      <c r="J157" s="4" t="b">
        <v>0</v>
      </c>
      <c r="K157" s="3" t="str">
        <f t="shared" si="7"/>
        <v/>
      </c>
      <c r="L157" s="3"/>
      <c r="M157" s="3"/>
      <c r="N157" s="3" t="b">
        <v>0</v>
      </c>
      <c r="O157" s="3"/>
      <c r="P157" s="3">
        <v>40</v>
      </c>
      <c r="Q157" s="3"/>
      <c r="R157" s="3" t="s">
        <v>1181</v>
      </c>
      <c r="S157" s="3" t="s">
        <v>609</v>
      </c>
      <c r="T157" s="3" t="s">
        <v>26</v>
      </c>
      <c r="U157" s="3" t="b">
        <v>0</v>
      </c>
      <c r="V157" s="3">
        <v>0.69999998807907104</v>
      </c>
      <c r="W157" s="3" t="e">
        <f t="shared" si="6"/>
        <v>#VALUE!</v>
      </c>
      <c r="X157" s="3">
        <v>9</v>
      </c>
      <c r="Y157" s="3">
        <v>0.79000002145767201</v>
      </c>
      <c r="Z157" s="3"/>
      <c r="AA157" s="3" t="str">
        <f t="shared" si="8"/>
        <v>Species</v>
      </c>
      <c r="AB157" s="3" t="s">
        <v>1183</v>
      </c>
      <c r="AC157" s="3" t="s">
        <v>1183</v>
      </c>
      <c r="AD157" s="3" t="s">
        <v>1183</v>
      </c>
      <c r="AE157" s="3" t="s">
        <v>1183</v>
      </c>
      <c r="AF157" s="5" t="s">
        <v>1183</v>
      </c>
      <c r="AG157" s="3" t="s">
        <v>1183</v>
      </c>
      <c r="AH157" s="3" t="s">
        <v>1183</v>
      </c>
      <c r="AI157" s="3" t="s">
        <v>1183</v>
      </c>
      <c r="AJ157" s="3" t="s">
        <v>1183</v>
      </c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6" t="e">
        <v>#NUM!</v>
      </c>
      <c r="BF157" s="6">
        <v>0</v>
      </c>
      <c r="BG157" s="6" t="e">
        <v>#NUM!</v>
      </c>
    </row>
    <row r="158" spans="1:59" ht="15.75" x14ac:dyDescent="0.25">
      <c r="A158" s="3">
        <v>148</v>
      </c>
      <c r="B158" s="3" t="s">
        <v>616</v>
      </c>
      <c r="C158" s="3" t="s">
        <v>611</v>
      </c>
      <c r="D158" s="3" t="s">
        <v>1473</v>
      </c>
      <c r="E158" s="3" t="s">
        <v>612</v>
      </c>
      <c r="F158" s="3" t="s">
        <v>1474</v>
      </c>
      <c r="G158" s="3" t="s">
        <v>617</v>
      </c>
      <c r="H158" s="3" t="s">
        <v>618</v>
      </c>
      <c r="I158" s="3"/>
      <c r="J158" s="4" t="b">
        <v>0</v>
      </c>
      <c r="K158" s="3">
        <f t="shared" si="7"/>
        <v>20</v>
      </c>
      <c r="L158" s="3"/>
      <c r="M158" s="3"/>
      <c r="N158" s="3" t="b">
        <v>0</v>
      </c>
      <c r="O158" s="3"/>
      <c r="P158" s="3">
        <v>40</v>
      </c>
      <c r="Q158" s="3"/>
      <c r="R158" s="3" t="s">
        <v>1181</v>
      </c>
      <c r="S158" s="3" t="s">
        <v>307</v>
      </c>
      <c r="T158" s="3" t="s">
        <v>26</v>
      </c>
      <c r="U158" s="3" t="b">
        <v>0</v>
      </c>
      <c r="V158" s="3">
        <v>0.62999999523162797</v>
      </c>
      <c r="W158" s="3" t="e">
        <f t="shared" si="6"/>
        <v>#VALUE!</v>
      </c>
      <c r="X158" s="3">
        <v>9</v>
      </c>
      <c r="Y158" s="3">
        <v>0.91000002622604403</v>
      </c>
      <c r="Z158" s="3"/>
      <c r="AA158" s="3" t="str">
        <f t="shared" si="8"/>
        <v>Species</v>
      </c>
      <c r="AB158" s="3" t="s">
        <v>1183</v>
      </c>
      <c r="AC158" s="3" t="s">
        <v>1183</v>
      </c>
      <c r="AD158" s="3" t="s">
        <v>1183</v>
      </c>
      <c r="AE158" s="3" t="s">
        <v>1183</v>
      </c>
      <c r="AF158" s="5">
        <v>20</v>
      </c>
      <c r="AG158" s="3" t="s">
        <v>1183</v>
      </c>
      <c r="AH158" s="3" t="s">
        <v>1183</v>
      </c>
      <c r="AI158" s="3" t="s">
        <v>1183</v>
      </c>
      <c r="AJ158" s="3" t="s">
        <v>1183</v>
      </c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6">
        <v>20</v>
      </c>
      <c r="BF158" s="6">
        <v>2710</v>
      </c>
      <c r="BG158" s="6">
        <v>150</v>
      </c>
    </row>
    <row r="159" spans="1:59" ht="15.75" x14ac:dyDescent="0.25">
      <c r="A159" s="3">
        <v>149</v>
      </c>
      <c r="B159" s="3" t="s">
        <v>651</v>
      </c>
      <c r="C159" s="3" t="s">
        <v>611</v>
      </c>
      <c r="D159" s="3" t="s">
        <v>1473</v>
      </c>
      <c r="E159" s="3" t="s">
        <v>612</v>
      </c>
      <c r="F159" s="3" t="s">
        <v>1475</v>
      </c>
      <c r="G159" s="3" t="s">
        <v>652</v>
      </c>
      <c r="H159" s="3" t="s">
        <v>1476</v>
      </c>
      <c r="I159" s="3"/>
      <c r="J159" s="4" t="b">
        <v>1</v>
      </c>
      <c r="K159" s="3">
        <f t="shared" si="7"/>
        <v>90</v>
      </c>
      <c r="L159" s="3"/>
      <c r="M159" s="3"/>
      <c r="N159" s="3" t="b">
        <v>0</v>
      </c>
      <c r="O159" s="3"/>
      <c r="P159" s="3">
        <v>60.299999237060497</v>
      </c>
      <c r="Q159" s="3" t="s">
        <v>1213</v>
      </c>
      <c r="R159" s="3" t="s">
        <v>1181</v>
      </c>
      <c r="S159" s="3"/>
      <c r="T159" s="3" t="s">
        <v>26</v>
      </c>
      <c r="U159" s="3" t="b">
        <v>0</v>
      </c>
      <c r="V159" s="3">
        <v>0.85000002384185802</v>
      </c>
      <c r="W159" s="3" t="str">
        <f t="shared" si="6"/>
        <v/>
      </c>
      <c r="X159" s="3">
        <v>9</v>
      </c>
      <c r="Y159" s="3">
        <v>0.85799998044967696</v>
      </c>
      <c r="Z159" s="3"/>
      <c r="AA159" s="3" t="str">
        <f t="shared" si="8"/>
        <v>Species</v>
      </c>
      <c r="AB159" s="3">
        <v>90</v>
      </c>
      <c r="AC159" s="3">
        <v>150</v>
      </c>
      <c r="AD159" s="3" t="s">
        <v>1208</v>
      </c>
      <c r="AE159" s="3">
        <v>90</v>
      </c>
      <c r="AF159" s="5">
        <v>90</v>
      </c>
      <c r="AG159" s="3" t="s">
        <v>1477</v>
      </c>
      <c r="AH159" s="3">
        <v>50</v>
      </c>
      <c r="AI159" s="3">
        <v>150</v>
      </c>
      <c r="AJ159" s="3">
        <v>20</v>
      </c>
      <c r="AK159" s="3">
        <v>30</v>
      </c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6">
        <v>76</v>
      </c>
      <c r="BF159" s="6">
        <v>200</v>
      </c>
      <c r="BG159" s="6">
        <v>108</v>
      </c>
    </row>
    <row r="160" spans="1:59" ht="15.75" x14ac:dyDescent="0.25">
      <c r="A160" s="3">
        <v>150</v>
      </c>
      <c r="B160" s="3" t="s">
        <v>664</v>
      </c>
      <c r="C160" s="3" t="s">
        <v>611</v>
      </c>
      <c r="D160" s="3" t="s">
        <v>1473</v>
      </c>
      <c r="E160" s="3" t="s">
        <v>612</v>
      </c>
      <c r="F160" s="3" t="s">
        <v>1478</v>
      </c>
      <c r="G160" s="3" t="s">
        <v>665</v>
      </c>
      <c r="H160" s="3" t="s">
        <v>666</v>
      </c>
      <c r="I160" s="3"/>
      <c r="J160" s="4" t="b">
        <v>1</v>
      </c>
      <c r="K160" s="3">
        <f t="shared" si="7"/>
        <v>40</v>
      </c>
      <c r="L160" s="3"/>
      <c r="M160" s="3"/>
      <c r="N160" s="3" t="b">
        <v>0</v>
      </c>
      <c r="O160" s="3"/>
      <c r="P160" s="3">
        <v>40</v>
      </c>
      <c r="Q160" s="3"/>
      <c r="R160" s="3" t="s">
        <v>1181</v>
      </c>
      <c r="S160" s="3" t="s">
        <v>667</v>
      </c>
      <c r="T160" s="3" t="s">
        <v>26</v>
      </c>
      <c r="U160" s="3" t="b">
        <v>0</v>
      </c>
      <c r="V160" s="3">
        <v>0.80000001192092896</v>
      </c>
      <c r="W160" s="3" t="e">
        <f t="shared" si="6"/>
        <v>#VALUE!</v>
      </c>
      <c r="X160" s="3">
        <v>9</v>
      </c>
      <c r="Y160" s="3">
        <v>0.85799998044967696</v>
      </c>
      <c r="Z160" s="3"/>
      <c r="AA160" s="3" t="str">
        <f t="shared" si="8"/>
        <v>Species</v>
      </c>
      <c r="AB160" s="3" t="s">
        <v>1183</v>
      </c>
      <c r="AC160" s="3" t="s">
        <v>1183</v>
      </c>
      <c r="AD160" s="3" t="s">
        <v>1183</v>
      </c>
      <c r="AE160" s="3" t="s">
        <v>1183</v>
      </c>
      <c r="AF160" s="5">
        <v>40</v>
      </c>
      <c r="AG160" s="3" t="s">
        <v>1183</v>
      </c>
      <c r="AH160" s="3" t="s">
        <v>1183</v>
      </c>
      <c r="AI160" s="3" t="s">
        <v>1183</v>
      </c>
      <c r="AJ160" s="3" t="s">
        <v>1183</v>
      </c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6">
        <v>29.910000000000032</v>
      </c>
      <c r="BF160" s="6">
        <v>492</v>
      </c>
      <c r="BG160" s="6">
        <v>110</v>
      </c>
    </row>
    <row r="161" spans="1:59" ht="15.75" x14ac:dyDescent="0.25">
      <c r="A161" s="3">
        <v>151</v>
      </c>
      <c r="B161" s="3" t="s">
        <v>610</v>
      </c>
      <c r="C161" s="3" t="s">
        <v>611</v>
      </c>
      <c r="D161" s="3" t="s">
        <v>1473</v>
      </c>
      <c r="E161" s="3" t="s">
        <v>612</v>
      </c>
      <c r="F161" s="3" t="s">
        <v>1479</v>
      </c>
      <c r="G161" s="3" t="s">
        <v>613</v>
      </c>
      <c r="H161" s="3" t="s">
        <v>614</v>
      </c>
      <c r="I161" s="3"/>
      <c r="J161" s="4" t="b">
        <v>0</v>
      </c>
      <c r="K161" s="3" t="str">
        <f t="shared" si="7"/>
        <v/>
      </c>
      <c r="L161" s="3"/>
      <c r="M161" s="3"/>
      <c r="N161" s="3" t="b">
        <v>0</v>
      </c>
      <c r="O161" s="3"/>
      <c r="P161" s="3">
        <v>40</v>
      </c>
      <c r="Q161" s="3"/>
      <c r="R161" s="3" t="s">
        <v>1181</v>
      </c>
      <c r="S161" s="3" t="s">
        <v>615</v>
      </c>
      <c r="T161" s="3" t="s">
        <v>26</v>
      </c>
      <c r="U161" s="3" t="b">
        <v>0</v>
      </c>
      <c r="V161" s="3">
        <v>0.68000000715255704</v>
      </c>
      <c r="W161" s="3" t="e">
        <f t="shared" si="6"/>
        <v>#VALUE!</v>
      </c>
      <c r="X161" s="3">
        <v>9</v>
      </c>
      <c r="Y161" s="3">
        <v>0.85799998044967696</v>
      </c>
      <c r="Z161" s="3"/>
      <c r="AA161" s="3" t="str">
        <f t="shared" si="8"/>
        <v>Species</v>
      </c>
      <c r="AB161" s="3" t="s">
        <v>1183</v>
      </c>
      <c r="AC161" s="3" t="s">
        <v>1183</v>
      </c>
      <c r="AD161" s="3" t="s">
        <v>1183</v>
      </c>
      <c r="AE161" s="3" t="s">
        <v>1183</v>
      </c>
      <c r="AF161" s="5" t="s">
        <v>1183</v>
      </c>
      <c r="AG161" s="3" t="s">
        <v>1183</v>
      </c>
      <c r="AH161" s="3" t="s">
        <v>1183</v>
      </c>
      <c r="AI161" s="3" t="s">
        <v>1183</v>
      </c>
      <c r="AJ161" s="3" t="s">
        <v>1183</v>
      </c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6">
        <v>17</v>
      </c>
      <c r="BF161" s="6">
        <v>57</v>
      </c>
      <c r="BG161" s="6">
        <v>27.9</v>
      </c>
    </row>
    <row r="162" spans="1:59" ht="15.75" x14ac:dyDescent="0.25">
      <c r="A162" s="3">
        <v>152</v>
      </c>
      <c r="B162" s="3" t="s">
        <v>626</v>
      </c>
      <c r="C162" s="3" t="s">
        <v>611</v>
      </c>
      <c r="D162" s="3" t="s">
        <v>1473</v>
      </c>
      <c r="E162" s="3" t="s">
        <v>612</v>
      </c>
      <c r="F162" s="3" t="s">
        <v>1480</v>
      </c>
      <c r="G162" s="3" t="s">
        <v>627</v>
      </c>
      <c r="H162" s="3" t="s">
        <v>628</v>
      </c>
      <c r="I162" s="3"/>
      <c r="J162" s="4" t="b">
        <v>0</v>
      </c>
      <c r="K162" s="3">
        <f t="shared" si="7"/>
        <v>20</v>
      </c>
      <c r="L162" s="3"/>
      <c r="M162" s="3"/>
      <c r="N162" s="3" t="b">
        <v>1</v>
      </c>
      <c r="O162" s="3"/>
      <c r="P162" s="3">
        <v>15.8999996185303</v>
      </c>
      <c r="Q162" s="3"/>
      <c r="R162" s="3" t="s">
        <v>1181</v>
      </c>
      <c r="S162" s="3" t="s">
        <v>307</v>
      </c>
      <c r="T162" s="3" t="s">
        <v>26</v>
      </c>
      <c r="U162" s="3" t="b">
        <v>0</v>
      </c>
      <c r="V162" s="3">
        <v>0.769999980926514</v>
      </c>
      <c r="W162" s="3" t="e">
        <f t="shared" si="6"/>
        <v>#VALUE!</v>
      </c>
      <c r="X162" s="3">
        <v>9</v>
      </c>
      <c r="Y162" s="3">
        <v>0.85799998044967696</v>
      </c>
      <c r="Z162" s="3"/>
      <c r="AA162" s="3" t="str">
        <f t="shared" si="8"/>
        <v>Species</v>
      </c>
      <c r="AB162" s="3">
        <v>30</v>
      </c>
      <c r="AC162" s="3">
        <v>40</v>
      </c>
      <c r="AD162" s="3" t="s">
        <v>1194</v>
      </c>
      <c r="AE162" s="3">
        <v>30</v>
      </c>
      <c r="AF162" s="5">
        <v>20</v>
      </c>
      <c r="AG162" s="3" t="s">
        <v>1183</v>
      </c>
      <c r="AH162" s="3" t="s">
        <v>1183</v>
      </c>
      <c r="AI162" s="3" t="s">
        <v>1183</v>
      </c>
      <c r="AJ162" s="3" t="s">
        <v>1183</v>
      </c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6">
        <v>14</v>
      </c>
      <c r="BF162" s="6">
        <v>205</v>
      </c>
      <c r="BG162" s="6">
        <v>85</v>
      </c>
    </row>
    <row r="163" spans="1:59" ht="15.75" x14ac:dyDescent="0.25">
      <c r="A163" s="3">
        <v>153</v>
      </c>
      <c r="B163" s="3" t="s">
        <v>622</v>
      </c>
      <c r="C163" s="3" t="s">
        <v>611</v>
      </c>
      <c r="D163" s="3" t="s">
        <v>1473</v>
      </c>
      <c r="E163" s="3" t="s">
        <v>612</v>
      </c>
      <c r="F163" s="3" t="s">
        <v>1481</v>
      </c>
      <c r="G163" s="3" t="s">
        <v>623</v>
      </c>
      <c r="H163" s="3" t="s">
        <v>624</v>
      </c>
      <c r="I163" s="3"/>
      <c r="J163" s="4" t="b">
        <v>0</v>
      </c>
      <c r="K163" s="3">
        <f t="shared" si="7"/>
        <v>70</v>
      </c>
      <c r="L163" s="3"/>
      <c r="M163" s="3"/>
      <c r="N163" s="3" t="b">
        <v>1</v>
      </c>
      <c r="O163" s="3"/>
      <c r="P163" s="3">
        <v>63.299999237060497</v>
      </c>
      <c r="Q163" s="3" t="s">
        <v>1217</v>
      </c>
      <c r="R163" s="3" t="s">
        <v>1181</v>
      </c>
      <c r="S163" s="3" t="s">
        <v>625</v>
      </c>
      <c r="T163" s="3" t="s">
        <v>26</v>
      </c>
      <c r="U163" s="3" t="b">
        <v>0</v>
      </c>
      <c r="V163" s="3">
        <v>0.37999999523162797</v>
      </c>
      <c r="W163" s="3" t="e">
        <f t="shared" si="6"/>
        <v>#VALUE!</v>
      </c>
      <c r="X163" s="3">
        <v>9</v>
      </c>
      <c r="Y163" s="3">
        <v>0.85799998044967696</v>
      </c>
      <c r="Z163" s="3"/>
      <c r="AA163" s="3" t="str">
        <f t="shared" si="8"/>
        <v>Species</v>
      </c>
      <c r="AB163" s="3">
        <v>75</v>
      </c>
      <c r="AC163" s="3">
        <v>60</v>
      </c>
      <c r="AD163" s="3" t="s">
        <v>1208</v>
      </c>
      <c r="AE163" s="3">
        <v>75</v>
      </c>
      <c r="AF163" s="5">
        <v>70</v>
      </c>
      <c r="AG163" s="3" t="s">
        <v>1482</v>
      </c>
      <c r="AH163" s="3">
        <v>30</v>
      </c>
      <c r="AI163" s="3">
        <v>60</v>
      </c>
      <c r="AJ163" s="3" t="s">
        <v>1183</v>
      </c>
      <c r="AK163" s="3">
        <v>20</v>
      </c>
      <c r="AL163" s="3"/>
      <c r="AM163" s="3"/>
      <c r="AN163" s="3"/>
      <c r="AO163" s="3"/>
      <c r="AP163" s="3"/>
      <c r="AQ163" s="3"/>
      <c r="AR163" s="3"/>
      <c r="AS163" s="3">
        <v>75</v>
      </c>
      <c r="AT163" s="3"/>
      <c r="AU163" s="3">
        <v>20</v>
      </c>
      <c r="AV163" s="3"/>
      <c r="AW163" s="3"/>
      <c r="AX163" s="3"/>
      <c r="AY163" s="3"/>
      <c r="AZ163" s="3"/>
      <c r="BA163" s="3"/>
      <c r="BB163" s="3"/>
      <c r="BC163" s="3"/>
      <c r="BD163" s="3"/>
      <c r="BE163" s="6">
        <v>63</v>
      </c>
      <c r="BF163" s="6">
        <v>4536</v>
      </c>
      <c r="BG163" s="6">
        <v>180</v>
      </c>
    </row>
    <row r="164" spans="1:59" ht="15.75" x14ac:dyDescent="0.25">
      <c r="A164" s="3">
        <v>154</v>
      </c>
      <c r="B164" s="3" t="s">
        <v>654</v>
      </c>
      <c r="C164" s="3" t="s">
        <v>611</v>
      </c>
      <c r="D164" s="3" t="s">
        <v>1473</v>
      </c>
      <c r="E164" s="3" t="s">
        <v>612</v>
      </c>
      <c r="F164" s="3" t="s">
        <v>1483</v>
      </c>
      <c r="G164" s="3" t="s">
        <v>655</v>
      </c>
      <c r="H164" s="3" t="s">
        <v>656</v>
      </c>
      <c r="I164" s="3"/>
      <c r="J164" s="4" t="b">
        <v>1</v>
      </c>
      <c r="K164" s="3">
        <f t="shared" si="7"/>
        <v>15</v>
      </c>
      <c r="L164" s="3"/>
      <c r="M164" s="3"/>
      <c r="N164" s="3" t="b">
        <v>0</v>
      </c>
      <c r="O164" s="3"/>
      <c r="P164" s="3">
        <v>15</v>
      </c>
      <c r="Q164" s="3"/>
      <c r="R164" s="3" t="s">
        <v>1181</v>
      </c>
      <c r="S164" s="3" t="s">
        <v>657</v>
      </c>
      <c r="T164" s="3" t="s">
        <v>26</v>
      </c>
      <c r="U164" s="3" t="b">
        <v>0</v>
      </c>
      <c r="V164" s="3">
        <v>0.64999997615814198</v>
      </c>
      <c r="W164" s="3" t="e">
        <f t="shared" si="6"/>
        <v>#VALUE!</v>
      </c>
      <c r="X164" s="3">
        <v>9</v>
      </c>
      <c r="Y164" s="3">
        <v>0.85799998044967696</v>
      </c>
      <c r="Z164" s="3"/>
      <c r="AA164" s="3" t="str">
        <f t="shared" si="8"/>
        <v>Species</v>
      </c>
      <c r="AB164" s="3">
        <v>15</v>
      </c>
      <c r="AC164" s="3" t="s">
        <v>1183</v>
      </c>
      <c r="AD164" s="3" t="s">
        <v>1183</v>
      </c>
      <c r="AE164" s="3">
        <v>15</v>
      </c>
      <c r="AF164" s="5">
        <v>15</v>
      </c>
      <c r="AG164" s="3" t="s">
        <v>1183</v>
      </c>
      <c r="AH164" s="3" t="s">
        <v>1183</v>
      </c>
      <c r="AI164" s="3" t="s">
        <v>1183</v>
      </c>
      <c r="AJ164" s="3" t="s">
        <v>1183</v>
      </c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6">
        <v>45.900000000000006</v>
      </c>
      <c r="BF164" s="6">
        <v>28</v>
      </c>
      <c r="BG164" s="6">
        <v>66</v>
      </c>
    </row>
    <row r="165" spans="1:59" ht="15.75" x14ac:dyDescent="0.25">
      <c r="A165" s="3">
        <v>155</v>
      </c>
      <c r="B165" s="3" t="s">
        <v>633</v>
      </c>
      <c r="C165" s="3" t="s">
        <v>611</v>
      </c>
      <c r="D165" s="3" t="s">
        <v>1473</v>
      </c>
      <c r="E165" s="3" t="s">
        <v>612</v>
      </c>
      <c r="F165" s="3" t="s">
        <v>1484</v>
      </c>
      <c r="G165" s="3" t="s">
        <v>634</v>
      </c>
      <c r="H165" s="3" t="s">
        <v>635</v>
      </c>
      <c r="I165" s="3"/>
      <c r="J165" s="4" t="b">
        <v>0</v>
      </c>
      <c r="K165" s="3">
        <f t="shared" si="7"/>
        <v>60</v>
      </c>
      <c r="L165" s="3"/>
      <c r="M165" s="3"/>
      <c r="N165" s="3" t="b">
        <v>0</v>
      </c>
      <c r="O165" s="3"/>
      <c r="P165" s="3">
        <v>100</v>
      </c>
      <c r="Q165" s="3"/>
      <c r="R165" s="3" t="s">
        <v>1181</v>
      </c>
      <c r="S165" s="3" t="s">
        <v>65</v>
      </c>
      <c r="T165" s="3" t="s">
        <v>26</v>
      </c>
      <c r="U165" s="3" t="b">
        <v>0</v>
      </c>
      <c r="V165" s="3">
        <v>0.68</v>
      </c>
      <c r="W165" s="3" t="e">
        <f t="shared" si="6"/>
        <v>#VALUE!</v>
      </c>
      <c r="X165" s="3">
        <v>9</v>
      </c>
      <c r="Y165" s="3">
        <v>0.87999999523162797</v>
      </c>
      <c r="Z165" s="3"/>
      <c r="AA165" s="3" t="str">
        <f t="shared" si="8"/>
        <v>Species</v>
      </c>
      <c r="AB165" s="3" t="s">
        <v>1183</v>
      </c>
      <c r="AC165" s="3" t="s">
        <v>1183</v>
      </c>
      <c r="AD165" s="3" t="s">
        <v>1183</v>
      </c>
      <c r="AE165" s="3">
        <v>90</v>
      </c>
      <c r="AF165" s="5">
        <v>60</v>
      </c>
      <c r="AG165" s="3" t="s">
        <v>1485</v>
      </c>
      <c r="AH165" s="3">
        <v>30</v>
      </c>
      <c r="AI165" s="3">
        <v>60</v>
      </c>
      <c r="AJ165" s="3">
        <v>15</v>
      </c>
      <c r="AK165" s="3">
        <v>20</v>
      </c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6">
        <v>52</v>
      </c>
      <c r="BF165" s="6">
        <v>32611</v>
      </c>
      <c r="BG165" s="6">
        <v>193</v>
      </c>
    </row>
    <row r="166" spans="1:59" ht="15.75" x14ac:dyDescent="0.25">
      <c r="A166" s="3">
        <v>303</v>
      </c>
      <c r="B166" s="3" t="s">
        <v>619</v>
      </c>
      <c r="C166" s="3" t="s">
        <v>611</v>
      </c>
      <c r="D166" s="3" t="s">
        <v>1473</v>
      </c>
      <c r="E166" s="3" t="s">
        <v>612</v>
      </c>
      <c r="F166" s="3" t="s">
        <v>1703</v>
      </c>
      <c r="G166" s="3" t="s">
        <v>620</v>
      </c>
      <c r="H166" s="3" t="s">
        <v>621</v>
      </c>
      <c r="I166" s="3"/>
      <c r="J166" s="4" t="b">
        <v>0</v>
      </c>
      <c r="K166" s="3" t="str">
        <f t="shared" si="7"/>
        <v/>
      </c>
      <c r="L166" s="3"/>
      <c r="M166" s="3"/>
      <c r="N166" s="3" t="b">
        <v>0</v>
      </c>
      <c r="O166" s="3"/>
      <c r="P166" s="3"/>
      <c r="Q166" s="3"/>
      <c r="R166" s="3" t="s">
        <v>1181</v>
      </c>
      <c r="S166" s="3"/>
      <c r="T166" s="3" t="s">
        <v>26</v>
      </c>
      <c r="U166" s="3" t="b">
        <v>0</v>
      </c>
      <c r="V166" s="3">
        <v>0.65</v>
      </c>
      <c r="W166" s="3" t="str">
        <f t="shared" si="6"/>
        <v/>
      </c>
      <c r="X166" s="3"/>
      <c r="Y166" s="3"/>
      <c r="Z166" s="3"/>
      <c r="AA166" s="3" t="str">
        <f t="shared" si="8"/>
        <v>Species</v>
      </c>
      <c r="AB166" s="3"/>
      <c r="AC166" s="3"/>
      <c r="AD166" s="3"/>
      <c r="AE166" s="3"/>
      <c r="AF166" s="5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6" t="e">
        <v>#NUM!</v>
      </c>
      <c r="BF166" s="6">
        <v>0</v>
      </c>
      <c r="BG166" s="6" t="e">
        <v>#NUM!</v>
      </c>
    </row>
    <row r="167" spans="1:59" ht="15.75" x14ac:dyDescent="0.25">
      <c r="A167" s="3">
        <v>156</v>
      </c>
      <c r="B167" s="3" t="s">
        <v>640</v>
      </c>
      <c r="C167" s="3" t="s">
        <v>611</v>
      </c>
      <c r="D167" s="3" t="s">
        <v>1473</v>
      </c>
      <c r="E167" s="3" t="s">
        <v>612</v>
      </c>
      <c r="F167" s="3" t="s">
        <v>1486</v>
      </c>
      <c r="G167" s="3" t="s">
        <v>641</v>
      </c>
      <c r="H167" s="3" t="s">
        <v>642</v>
      </c>
      <c r="I167" s="3"/>
      <c r="J167" s="4" t="b">
        <v>1</v>
      </c>
      <c r="K167" s="3">
        <f t="shared" si="7"/>
        <v>60</v>
      </c>
      <c r="L167" s="3"/>
      <c r="M167" s="3"/>
      <c r="N167" s="3" t="b">
        <v>1</v>
      </c>
      <c r="O167" s="3"/>
      <c r="P167" s="3">
        <v>56.099998474121101</v>
      </c>
      <c r="Q167" s="3" t="s">
        <v>1424</v>
      </c>
      <c r="R167" s="3" t="s">
        <v>1181</v>
      </c>
      <c r="S167" s="3" t="s">
        <v>643</v>
      </c>
      <c r="T167" s="3" t="s">
        <v>26</v>
      </c>
      <c r="U167" s="3" t="b">
        <v>0</v>
      </c>
      <c r="V167" s="3">
        <v>0.64999997615814198</v>
      </c>
      <c r="W167" s="3" t="e">
        <f t="shared" si="6"/>
        <v>#VALUE!</v>
      </c>
      <c r="X167" s="3">
        <v>9</v>
      </c>
      <c r="Y167" s="3">
        <v>0.82999998331069902</v>
      </c>
      <c r="Z167" s="3"/>
      <c r="AA167" s="3" t="str">
        <f t="shared" si="8"/>
        <v>Species</v>
      </c>
      <c r="AB167" s="3">
        <v>60</v>
      </c>
      <c r="AC167" s="3" t="s">
        <v>1183</v>
      </c>
      <c r="AD167" s="3" t="s">
        <v>1183</v>
      </c>
      <c r="AE167" s="3">
        <v>60</v>
      </c>
      <c r="AF167" s="5">
        <v>60</v>
      </c>
      <c r="AG167" s="3" t="s">
        <v>1487</v>
      </c>
      <c r="AH167" s="3">
        <v>40</v>
      </c>
      <c r="AI167" s="3">
        <v>130</v>
      </c>
      <c r="AJ167" s="3">
        <v>20</v>
      </c>
      <c r="AK167" s="3">
        <v>25</v>
      </c>
      <c r="AL167" s="3"/>
      <c r="AM167" s="3"/>
      <c r="AN167" s="3"/>
      <c r="AO167" s="3"/>
      <c r="AP167" s="3"/>
      <c r="AQ167" s="3"/>
      <c r="AR167" s="3"/>
      <c r="AS167" s="3">
        <v>60</v>
      </c>
      <c r="AT167" s="3"/>
      <c r="AU167" s="3">
        <v>25</v>
      </c>
      <c r="AV167" s="3"/>
      <c r="AW167" s="3"/>
      <c r="AX167" s="3"/>
      <c r="AY167" s="3"/>
      <c r="AZ167" s="3"/>
      <c r="BA167" s="3"/>
      <c r="BB167" s="3"/>
      <c r="BC167" s="3"/>
      <c r="BD167" s="3"/>
      <c r="BE167" s="6">
        <v>56</v>
      </c>
      <c r="BF167" s="6">
        <v>11158</v>
      </c>
      <c r="BG167" s="6">
        <v>176</v>
      </c>
    </row>
    <row r="168" spans="1:59" ht="15.75" x14ac:dyDescent="0.25">
      <c r="A168" s="3">
        <v>157</v>
      </c>
      <c r="B168" s="3" t="s">
        <v>644</v>
      </c>
      <c r="C168" s="3" t="s">
        <v>611</v>
      </c>
      <c r="D168" s="3" t="s">
        <v>1473</v>
      </c>
      <c r="E168" s="3" t="s">
        <v>612</v>
      </c>
      <c r="F168" s="3" t="s">
        <v>1488</v>
      </c>
      <c r="G168" s="3" t="s">
        <v>645</v>
      </c>
      <c r="H168" s="3" t="s">
        <v>646</v>
      </c>
      <c r="I168" s="3" t="s">
        <v>1489</v>
      </c>
      <c r="J168" s="4" t="b">
        <v>1</v>
      </c>
      <c r="K168" s="3">
        <f t="shared" si="7"/>
        <v>100</v>
      </c>
      <c r="L168" s="3"/>
      <c r="M168" s="3"/>
      <c r="N168" s="3" t="b">
        <v>1</v>
      </c>
      <c r="O168" s="3"/>
      <c r="P168" s="3">
        <v>92.400001525878906</v>
      </c>
      <c r="Q168" s="3" t="s">
        <v>1490</v>
      </c>
      <c r="R168" s="3" t="s">
        <v>1181</v>
      </c>
      <c r="S168" s="3" t="s">
        <v>264</v>
      </c>
      <c r="T168" s="3" t="s">
        <v>26</v>
      </c>
      <c r="U168" s="3" t="b">
        <v>0</v>
      </c>
      <c r="V168" s="3">
        <v>0.61000001430511497</v>
      </c>
      <c r="W168" s="3" t="e">
        <f t="shared" si="6"/>
        <v>#VALUE!</v>
      </c>
      <c r="X168" s="3">
        <v>9</v>
      </c>
      <c r="Y168" s="3">
        <v>0.82999998331069902</v>
      </c>
      <c r="Z168" s="3"/>
      <c r="AA168" s="3" t="str">
        <f t="shared" si="8"/>
        <v>Species</v>
      </c>
      <c r="AB168" s="3">
        <v>100</v>
      </c>
      <c r="AC168" s="3">
        <v>100</v>
      </c>
      <c r="AD168" s="3" t="s">
        <v>1208</v>
      </c>
      <c r="AE168" s="3">
        <v>100</v>
      </c>
      <c r="AF168" s="5">
        <v>100</v>
      </c>
      <c r="AG168" s="3" t="s">
        <v>1491</v>
      </c>
      <c r="AH168" s="3">
        <v>50</v>
      </c>
      <c r="AI168" s="3">
        <v>100</v>
      </c>
      <c r="AJ168" s="3">
        <v>20</v>
      </c>
      <c r="AK168" s="3">
        <v>30</v>
      </c>
      <c r="AL168" s="3"/>
      <c r="AM168" s="3"/>
      <c r="AN168" s="3"/>
      <c r="AO168" s="3"/>
      <c r="AP168" s="3"/>
      <c r="AQ168" s="3"/>
      <c r="AR168" s="3"/>
      <c r="AS168" s="3">
        <v>100</v>
      </c>
      <c r="AT168" s="3"/>
      <c r="AU168" s="3">
        <v>35</v>
      </c>
      <c r="AV168" s="3"/>
      <c r="AW168" s="3"/>
      <c r="AX168" s="3"/>
      <c r="AY168" s="3"/>
      <c r="AZ168" s="3"/>
      <c r="BA168" s="3"/>
      <c r="BB168" s="3"/>
      <c r="BC168" s="3"/>
      <c r="BD168" s="3"/>
      <c r="BE168" s="6">
        <v>87</v>
      </c>
      <c r="BF168" s="6">
        <v>13871</v>
      </c>
      <c r="BG168" s="6">
        <v>198</v>
      </c>
    </row>
    <row r="169" spans="1:59" ht="15.75" x14ac:dyDescent="0.25">
      <c r="A169" s="3">
        <v>158</v>
      </c>
      <c r="B169" s="3" t="s">
        <v>658</v>
      </c>
      <c r="C169" s="3" t="s">
        <v>611</v>
      </c>
      <c r="D169" s="3" t="s">
        <v>1473</v>
      </c>
      <c r="E169" s="3" t="s">
        <v>612</v>
      </c>
      <c r="F169" s="3" t="s">
        <v>1492</v>
      </c>
      <c r="G169" s="3" t="s">
        <v>659</v>
      </c>
      <c r="H169" s="3" t="s">
        <v>1493</v>
      </c>
      <c r="I169" s="3"/>
      <c r="J169" s="4" t="s">
        <v>1188</v>
      </c>
      <c r="K169" s="3" t="str">
        <f t="shared" si="7"/>
        <v/>
      </c>
      <c r="L169" s="3"/>
      <c r="M169" s="3"/>
      <c r="N169" s="3" t="b">
        <v>0</v>
      </c>
      <c r="O169" s="3"/>
      <c r="P169" s="3"/>
      <c r="Q169" s="3"/>
      <c r="R169" s="3" t="s">
        <v>1181</v>
      </c>
      <c r="S169" s="3"/>
      <c r="T169" s="3"/>
      <c r="U169" s="3"/>
      <c r="V169" s="3"/>
      <c r="W169" s="3" t="str">
        <f t="shared" si="6"/>
        <v/>
      </c>
      <c r="X169" s="3">
        <v>9</v>
      </c>
      <c r="Y169" s="3">
        <v>0.85799998044967696</v>
      </c>
      <c r="Z169" s="3"/>
      <c r="AA169" s="3" t="str">
        <f t="shared" si="8"/>
        <v>Genus</v>
      </c>
      <c r="AB169" s="3" t="s">
        <v>1183</v>
      </c>
      <c r="AC169" s="3" t="s">
        <v>1183</v>
      </c>
      <c r="AD169" s="3" t="s">
        <v>1183</v>
      </c>
      <c r="AE169" s="3" t="s">
        <v>1183</v>
      </c>
      <c r="AF169" s="5"/>
      <c r="AG169" s="3" t="s">
        <v>1183</v>
      </c>
      <c r="AH169" s="3" t="s">
        <v>1183</v>
      </c>
      <c r="AI169" s="3" t="s">
        <v>1183</v>
      </c>
      <c r="AJ169" s="3" t="s">
        <v>1183</v>
      </c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6">
        <v>60.199999999999989</v>
      </c>
      <c r="BF169" s="6">
        <v>329</v>
      </c>
      <c r="BG169" s="6">
        <v>121.8</v>
      </c>
    </row>
    <row r="170" spans="1:59" ht="15.75" x14ac:dyDescent="0.25">
      <c r="A170" s="3">
        <v>159</v>
      </c>
      <c r="B170" s="3" t="s">
        <v>629</v>
      </c>
      <c r="C170" s="3" t="s">
        <v>611</v>
      </c>
      <c r="D170" s="3" t="s">
        <v>1473</v>
      </c>
      <c r="E170" s="3" t="s">
        <v>612</v>
      </c>
      <c r="F170" s="3" t="s">
        <v>1494</v>
      </c>
      <c r="G170" s="3" t="s">
        <v>630</v>
      </c>
      <c r="H170" s="3" t="s">
        <v>631</v>
      </c>
      <c r="I170" s="3"/>
      <c r="J170" s="4" t="b">
        <v>1</v>
      </c>
      <c r="K170" s="3" t="str">
        <f t="shared" si="7"/>
        <v/>
      </c>
      <c r="L170" s="3"/>
      <c r="M170" s="3"/>
      <c r="N170" s="3" t="b">
        <v>0</v>
      </c>
      <c r="O170" s="3"/>
      <c r="P170" s="3">
        <v>15.6000003814697</v>
      </c>
      <c r="Q170" s="3" t="s">
        <v>1424</v>
      </c>
      <c r="R170" s="3" t="s">
        <v>1181</v>
      </c>
      <c r="S170" s="3" t="s">
        <v>632</v>
      </c>
      <c r="T170" s="3" t="s">
        <v>26</v>
      </c>
      <c r="U170" s="3" t="b">
        <v>0</v>
      </c>
      <c r="V170" s="3">
        <v>0.40000000596046398</v>
      </c>
      <c r="W170" s="3" t="e">
        <f t="shared" si="6"/>
        <v>#VALUE!</v>
      </c>
      <c r="X170" s="3">
        <v>9</v>
      </c>
      <c r="Y170" s="3">
        <v>0.85799998044967696</v>
      </c>
      <c r="Z170" s="3"/>
      <c r="AA170" s="3" t="str">
        <f t="shared" si="8"/>
        <v>Species</v>
      </c>
      <c r="AB170" s="3">
        <v>25</v>
      </c>
      <c r="AC170" s="3" t="s">
        <v>1183</v>
      </c>
      <c r="AD170" s="3" t="s">
        <v>1183</v>
      </c>
      <c r="AE170" s="3">
        <v>25</v>
      </c>
      <c r="AF170" s="5" t="s">
        <v>1183</v>
      </c>
      <c r="AG170" s="3" t="s">
        <v>1183</v>
      </c>
      <c r="AH170" s="3" t="s">
        <v>1183</v>
      </c>
      <c r="AI170" s="3" t="s">
        <v>1183</v>
      </c>
      <c r="AJ170" s="3" t="s">
        <v>1183</v>
      </c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6">
        <v>71.2</v>
      </c>
      <c r="BF170" s="6">
        <v>18</v>
      </c>
      <c r="BG170" s="6">
        <v>80</v>
      </c>
    </row>
    <row r="171" spans="1:59" ht="15.75" x14ac:dyDescent="0.25">
      <c r="A171" s="3">
        <v>160</v>
      </c>
      <c r="B171" s="3" t="s">
        <v>647</v>
      </c>
      <c r="C171" s="3" t="s">
        <v>611</v>
      </c>
      <c r="D171" s="3" t="s">
        <v>1473</v>
      </c>
      <c r="E171" s="3" t="s">
        <v>612</v>
      </c>
      <c r="F171" s="3" t="s">
        <v>1495</v>
      </c>
      <c r="G171" s="3" t="s">
        <v>648</v>
      </c>
      <c r="H171" s="3" t="s">
        <v>649</v>
      </c>
      <c r="I171" s="3"/>
      <c r="J171" s="4" t="b">
        <v>1</v>
      </c>
      <c r="K171" s="3">
        <f t="shared" si="7"/>
        <v>90</v>
      </c>
      <c r="L171" s="3"/>
      <c r="M171" s="3"/>
      <c r="N171" s="3" t="b">
        <v>1</v>
      </c>
      <c r="O171" s="3"/>
      <c r="P171" s="3">
        <v>84.300003051757798</v>
      </c>
      <c r="Q171" s="3" t="s">
        <v>1213</v>
      </c>
      <c r="R171" s="3" t="s">
        <v>1181</v>
      </c>
      <c r="S171" s="3" t="s">
        <v>650</v>
      </c>
      <c r="T171" s="3" t="s">
        <v>26</v>
      </c>
      <c r="U171" s="3" t="b">
        <v>0</v>
      </c>
      <c r="V171" s="3">
        <v>0.77999997138977095</v>
      </c>
      <c r="W171" s="3" t="e">
        <f t="shared" si="6"/>
        <v>#VALUE!</v>
      </c>
      <c r="X171" s="3">
        <v>9</v>
      </c>
      <c r="Y171" s="3">
        <v>0.83999997377395597</v>
      </c>
      <c r="Z171" s="3"/>
      <c r="AA171" s="3" t="str">
        <f t="shared" si="8"/>
        <v>Species</v>
      </c>
      <c r="AB171" s="3">
        <v>90</v>
      </c>
      <c r="AC171" s="3">
        <v>150</v>
      </c>
      <c r="AD171" s="3" t="s">
        <v>1208</v>
      </c>
      <c r="AE171" s="3">
        <v>90</v>
      </c>
      <c r="AF171" s="5">
        <v>90</v>
      </c>
      <c r="AG171" s="3" t="s">
        <v>1496</v>
      </c>
      <c r="AH171" s="3">
        <v>50</v>
      </c>
      <c r="AI171" s="3">
        <v>150</v>
      </c>
      <c r="AJ171" s="3">
        <v>20</v>
      </c>
      <c r="AK171" s="3">
        <v>30</v>
      </c>
      <c r="AL171" s="3"/>
      <c r="AM171" s="3"/>
      <c r="AN171" s="3"/>
      <c r="AO171" s="3"/>
      <c r="AP171" s="3"/>
      <c r="AQ171" s="3"/>
      <c r="AR171" s="3"/>
      <c r="AS171" s="3">
        <v>90</v>
      </c>
      <c r="AT171" s="3"/>
      <c r="AU171" s="3">
        <v>35</v>
      </c>
      <c r="AV171" s="3"/>
      <c r="AW171" s="3"/>
      <c r="AX171" s="3"/>
      <c r="AY171" s="3"/>
      <c r="AZ171" s="3"/>
      <c r="BA171" s="3"/>
      <c r="BB171" s="3"/>
      <c r="BC171" s="3"/>
      <c r="BD171" s="3"/>
      <c r="BE171" s="6">
        <v>63</v>
      </c>
      <c r="BF171" s="6">
        <v>17692</v>
      </c>
      <c r="BG171" s="6">
        <v>181</v>
      </c>
    </row>
    <row r="172" spans="1:59" ht="15.75" x14ac:dyDescent="0.25">
      <c r="A172" s="3">
        <v>161</v>
      </c>
      <c r="B172" s="3" t="s">
        <v>636</v>
      </c>
      <c r="C172" s="3" t="s">
        <v>611</v>
      </c>
      <c r="D172" s="3" t="s">
        <v>1473</v>
      </c>
      <c r="E172" s="3" t="s">
        <v>612</v>
      </c>
      <c r="F172" s="3" t="s">
        <v>1497</v>
      </c>
      <c r="G172" s="3" t="s">
        <v>637</v>
      </c>
      <c r="H172" s="3" t="s">
        <v>638</v>
      </c>
      <c r="I172" s="3"/>
      <c r="J172" s="4" t="b">
        <v>0</v>
      </c>
      <c r="K172" s="3">
        <f t="shared" si="7"/>
        <v>60</v>
      </c>
      <c r="L172" s="3"/>
      <c r="M172" s="3"/>
      <c r="N172" s="3" t="b">
        <v>0</v>
      </c>
      <c r="O172" s="3"/>
      <c r="P172" s="3">
        <v>50</v>
      </c>
      <c r="Q172" s="3"/>
      <c r="R172" s="3" t="s">
        <v>1181</v>
      </c>
      <c r="S172" s="3" t="s">
        <v>639</v>
      </c>
      <c r="T172" s="3" t="s">
        <v>26</v>
      </c>
      <c r="U172" s="3" t="b">
        <v>0</v>
      </c>
      <c r="V172" s="3">
        <v>0.68000000715255704</v>
      </c>
      <c r="W172" s="3" t="e">
        <f t="shared" si="6"/>
        <v>#VALUE!</v>
      </c>
      <c r="X172" s="3">
        <v>9</v>
      </c>
      <c r="Y172" s="3">
        <v>0.85799998044967696</v>
      </c>
      <c r="Z172" s="3"/>
      <c r="AA172" s="3" t="str">
        <f t="shared" si="8"/>
        <v>Species</v>
      </c>
      <c r="AB172" s="3" t="s">
        <v>1183</v>
      </c>
      <c r="AC172" s="3" t="s">
        <v>1183</v>
      </c>
      <c r="AD172" s="3" t="s">
        <v>1183</v>
      </c>
      <c r="AE172" s="3" t="s">
        <v>1183</v>
      </c>
      <c r="AF172" s="5">
        <v>60</v>
      </c>
      <c r="AG172" s="3" t="s">
        <v>1183</v>
      </c>
      <c r="AH172" s="3" t="s">
        <v>1183</v>
      </c>
      <c r="AI172" s="3" t="s">
        <v>1183</v>
      </c>
      <c r="AJ172" s="3" t="s">
        <v>1183</v>
      </c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6">
        <v>63.199999999999996</v>
      </c>
      <c r="BF172" s="6">
        <v>34</v>
      </c>
      <c r="BG172" s="6">
        <v>79.5</v>
      </c>
    </row>
    <row r="173" spans="1:59" ht="15.75" x14ac:dyDescent="0.25">
      <c r="A173" s="3">
        <v>162</v>
      </c>
      <c r="B173" s="3" t="s">
        <v>661</v>
      </c>
      <c r="C173" s="3" t="s">
        <v>611</v>
      </c>
      <c r="D173" s="3" t="s">
        <v>1473</v>
      </c>
      <c r="E173" s="3" t="s">
        <v>612</v>
      </c>
      <c r="F173" s="3" t="s">
        <v>1498</v>
      </c>
      <c r="G173" s="3" t="s">
        <v>662</v>
      </c>
      <c r="H173" s="3" t="s">
        <v>663</v>
      </c>
      <c r="I173" s="3"/>
      <c r="J173" s="4" t="b">
        <v>0</v>
      </c>
      <c r="K173" s="3" t="str">
        <f t="shared" si="7"/>
        <v/>
      </c>
      <c r="L173" s="3"/>
      <c r="M173" s="3"/>
      <c r="N173" s="3" t="b">
        <v>0</v>
      </c>
      <c r="O173" s="3"/>
      <c r="P173" s="3">
        <v>40</v>
      </c>
      <c r="Q173" s="3"/>
      <c r="R173" s="3" t="s">
        <v>1181</v>
      </c>
      <c r="S173" s="3"/>
      <c r="T173" s="3" t="s">
        <v>26</v>
      </c>
      <c r="U173" s="3" t="b">
        <v>0</v>
      </c>
      <c r="V173" s="3">
        <v>0.64999997615814198</v>
      </c>
      <c r="W173" s="3" t="str">
        <f t="shared" si="6"/>
        <v/>
      </c>
      <c r="X173" s="3">
        <v>9</v>
      </c>
      <c r="Y173" s="3">
        <v>0.85799998044967696</v>
      </c>
      <c r="Z173" s="3"/>
      <c r="AA173" s="3" t="str">
        <f t="shared" si="8"/>
        <v>Species</v>
      </c>
      <c r="AB173" s="3" t="s">
        <v>1183</v>
      </c>
      <c r="AC173" s="3" t="s">
        <v>1183</v>
      </c>
      <c r="AD173" s="3" t="s">
        <v>1183</v>
      </c>
      <c r="AE173" s="3" t="s">
        <v>1183</v>
      </c>
      <c r="AF173" s="5" t="s">
        <v>1183</v>
      </c>
      <c r="AG173" s="3" t="s">
        <v>1183</v>
      </c>
      <c r="AH173" s="3" t="s">
        <v>1183</v>
      </c>
      <c r="AI173" s="3" t="s">
        <v>1183</v>
      </c>
      <c r="AJ173" s="3" t="s">
        <v>1183</v>
      </c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6">
        <v>5</v>
      </c>
      <c r="BF173" s="6">
        <v>8</v>
      </c>
      <c r="BG173" s="6">
        <v>5</v>
      </c>
    </row>
    <row r="174" spans="1:59" ht="15.75" x14ac:dyDescent="0.25">
      <c r="A174" s="3">
        <v>163</v>
      </c>
      <c r="B174" s="3" t="s">
        <v>673</v>
      </c>
      <c r="C174" s="3" t="s">
        <v>42</v>
      </c>
      <c r="D174" s="3" t="s">
        <v>1499</v>
      </c>
      <c r="E174" s="3" t="s">
        <v>669</v>
      </c>
      <c r="F174" s="3" t="s">
        <v>1500</v>
      </c>
      <c r="G174" s="3" t="s">
        <v>674</v>
      </c>
      <c r="H174" s="3" t="s">
        <v>675</v>
      </c>
      <c r="I174" s="3"/>
      <c r="J174" s="4" t="b">
        <v>1</v>
      </c>
      <c r="K174" s="3">
        <f t="shared" si="7"/>
        <v>40</v>
      </c>
      <c r="L174" s="3"/>
      <c r="M174" s="3"/>
      <c r="N174" s="3" t="b">
        <v>0</v>
      </c>
      <c r="O174" s="3"/>
      <c r="P174" s="3">
        <v>40</v>
      </c>
      <c r="Q174" s="3"/>
      <c r="R174" s="3" t="s">
        <v>1181</v>
      </c>
      <c r="S174" s="3" t="s">
        <v>264</v>
      </c>
      <c r="T174" s="3" t="s">
        <v>26</v>
      </c>
      <c r="U174" s="3" t="b">
        <v>0</v>
      </c>
      <c r="V174" s="3">
        <v>0.40000000596046398</v>
      </c>
      <c r="W174" s="3" t="e">
        <f t="shared" si="6"/>
        <v>#VALUE!</v>
      </c>
      <c r="X174" s="3">
        <v>9</v>
      </c>
      <c r="Y174" s="3">
        <v>0.79000002145767201</v>
      </c>
      <c r="Z174" s="3"/>
      <c r="AA174" s="3" t="str">
        <f t="shared" si="8"/>
        <v>Species</v>
      </c>
      <c r="AB174" s="3" t="s">
        <v>1183</v>
      </c>
      <c r="AC174" s="3">
        <v>50</v>
      </c>
      <c r="AD174" s="3" t="s">
        <v>1363</v>
      </c>
      <c r="AE174" s="3" t="s">
        <v>1183</v>
      </c>
      <c r="AF174" s="5">
        <v>40</v>
      </c>
      <c r="AG174" s="3" t="s">
        <v>1183</v>
      </c>
      <c r="AH174" s="3" t="s">
        <v>1183</v>
      </c>
      <c r="AI174" s="3" t="s">
        <v>1183</v>
      </c>
      <c r="AJ174" s="3" t="s">
        <v>1183</v>
      </c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6">
        <v>27.590000343322735</v>
      </c>
      <c r="BF174" s="6">
        <v>312</v>
      </c>
      <c r="BG174" s="6">
        <v>61</v>
      </c>
    </row>
    <row r="175" spans="1:59" ht="15.75" x14ac:dyDescent="0.25">
      <c r="A175" s="3">
        <v>164</v>
      </c>
      <c r="B175" s="3" t="s">
        <v>688</v>
      </c>
      <c r="C175" s="3" t="s">
        <v>42</v>
      </c>
      <c r="D175" s="3" t="s">
        <v>1499</v>
      </c>
      <c r="E175" s="3" t="s">
        <v>669</v>
      </c>
      <c r="F175" s="3" t="s">
        <v>1501</v>
      </c>
      <c r="G175" s="3" t="s">
        <v>689</v>
      </c>
      <c r="H175" s="3" t="s">
        <v>690</v>
      </c>
      <c r="I175" s="3"/>
      <c r="J175" s="4" t="b">
        <v>0</v>
      </c>
      <c r="K175" s="3" t="str">
        <f t="shared" si="7"/>
        <v/>
      </c>
      <c r="L175" s="3"/>
      <c r="M175" s="3"/>
      <c r="N175" s="3" t="b">
        <v>0</v>
      </c>
      <c r="O175" s="3"/>
      <c r="P175" s="3">
        <v>40</v>
      </c>
      <c r="Q175" s="3"/>
      <c r="R175" s="3" t="s">
        <v>1181</v>
      </c>
      <c r="S175" s="3"/>
      <c r="T175" s="3" t="s">
        <v>26</v>
      </c>
      <c r="U175" s="3" t="b">
        <v>0</v>
      </c>
      <c r="V175" s="3">
        <v>0.40000000596046398</v>
      </c>
      <c r="W175" s="3" t="str">
        <f t="shared" si="6"/>
        <v/>
      </c>
      <c r="X175" s="3">
        <v>9</v>
      </c>
      <c r="Y175" s="3">
        <v>0.79000002145767201</v>
      </c>
      <c r="Z175" s="3"/>
      <c r="AA175" s="3" t="str">
        <f t="shared" si="8"/>
        <v>Species</v>
      </c>
      <c r="AB175" s="3" t="s">
        <v>1183</v>
      </c>
      <c r="AC175" s="3" t="s">
        <v>1183</v>
      </c>
      <c r="AD175" s="3" t="s">
        <v>1183</v>
      </c>
      <c r="AE175" s="3" t="s">
        <v>1183</v>
      </c>
      <c r="AF175" s="5" t="s">
        <v>1183</v>
      </c>
      <c r="AG175" s="3" t="s">
        <v>1183</v>
      </c>
      <c r="AH175" s="3" t="s">
        <v>1183</v>
      </c>
      <c r="AI175" s="3" t="s">
        <v>1183</v>
      </c>
      <c r="AJ175" s="3" t="s">
        <v>1183</v>
      </c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6">
        <v>8.9</v>
      </c>
      <c r="BF175" s="6">
        <v>2</v>
      </c>
      <c r="BG175" s="6">
        <v>9</v>
      </c>
    </row>
    <row r="176" spans="1:59" ht="15.75" x14ac:dyDescent="0.25">
      <c r="A176" s="3">
        <v>165</v>
      </c>
      <c r="B176" s="3" t="s">
        <v>697</v>
      </c>
      <c r="C176" s="3" t="s">
        <v>42</v>
      </c>
      <c r="D176" s="3" t="s">
        <v>1499</v>
      </c>
      <c r="E176" s="3" t="s">
        <v>669</v>
      </c>
      <c r="F176" s="3" t="s">
        <v>1502</v>
      </c>
      <c r="G176" s="3" t="s">
        <v>698</v>
      </c>
      <c r="H176" s="3" t="s">
        <v>699</v>
      </c>
      <c r="I176" s="3"/>
      <c r="J176" s="4" t="b">
        <v>0</v>
      </c>
      <c r="K176" s="3">
        <f t="shared" si="7"/>
        <v>40</v>
      </c>
      <c r="L176" s="3"/>
      <c r="M176" s="3"/>
      <c r="N176" s="3" t="b">
        <v>0</v>
      </c>
      <c r="O176" s="3"/>
      <c r="P176" s="3">
        <v>40</v>
      </c>
      <c r="Q176" s="3"/>
      <c r="R176" s="3" t="s">
        <v>1181</v>
      </c>
      <c r="S176" s="3"/>
      <c r="T176" s="3" t="s">
        <v>26</v>
      </c>
      <c r="U176" s="3" t="b">
        <v>0</v>
      </c>
      <c r="V176" s="3">
        <v>0.40000000596046398</v>
      </c>
      <c r="W176" s="3" t="str">
        <f t="shared" si="6"/>
        <v/>
      </c>
      <c r="X176" s="3">
        <v>9</v>
      </c>
      <c r="Y176" s="3">
        <v>0.79000002145767201</v>
      </c>
      <c r="Z176" s="3"/>
      <c r="AA176" s="3" t="str">
        <f t="shared" si="8"/>
        <v>Species</v>
      </c>
      <c r="AB176" s="3" t="s">
        <v>1183</v>
      </c>
      <c r="AC176" s="3" t="s">
        <v>1183</v>
      </c>
      <c r="AD176" s="3" t="s">
        <v>1183</v>
      </c>
      <c r="AE176" s="3" t="s">
        <v>1183</v>
      </c>
      <c r="AF176" s="5">
        <v>40</v>
      </c>
      <c r="AG176" s="3" t="s">
        <v>1183</v>
      </c>
      <c r="AH176" s="3" t="s">
        <v>1183</v>
      </c>
      <c r="AI176" s="3" t="s">
        <v>1183</v>
      </c>
      <c r="AJ176" s="3" t="s">
        <v>1183</v>
      </c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6">
        <v>24</v>
      </c>
      <c r="BF176" s="6">
        <v>907</v>
      </c>
      <c r="BG176" s="6">
        <v>76</v>
      </c>
    </row>
    <row r="177" spans="1:59" ht="15.75" x14ac:dyDescent="0.25">
      <c r="A177" s="3">
        <v>166</v>
      </c>
      <c r="B177" s="3" t="s">
        <v>679</v>
      </c>
      <c r="C177" s="3" t="s">
        <v>42</v>
      </c>
      <c r="D177" s="3" t="s">
        <v>1499</v>
      </c>
      <c r="E177" s="3" t="s">
        <v>669</v>
      </c>
      <c r="F177" s="3" t="s">
        <v>1503</v>
      </c>
      <c r="G177" s="3" t="s">
        <v>680</v>
      </c>
      <c r="H177" s="3" t="s">
        <v>681</v>
      </c>
      <c r="I177" s="3"/>
      <c r="J177" s="4" t="b">
        <v>0</v>
      </c>
      <c r="K177" s="3">
        <f t="shared" si="7"/>
        <v>40</v>
      </c>
      <c r="L177" s="3"/>
      <c r="M177" s="3"/>
      <c r="N177" s="3" t="b">
        <v>1</v>
      </c>
      <c r="O177" s="3"/>
      <c r="P177" s="3">
        <v>50</v>
      </c>
      <c r="Q177" s="3"/>
      <c r="R177" s="3" t="s">
        <v>1181</v>
      </c>
      <c r="S177" s="3" t="s">
        <v>65</v>
      </c>
      <c r="T177" s="3" t="s">
        <v>26</v>
      </c>
      <c r="U177" s="3" t="b">
        <v>0</v>
      </c>
      <c r="V177" s="3">
        <v>0.40000000596046398</v>
      </c>
      <c r="W177" s="3" t="e">
        <f t="shared" si="6"/>
        <v>#VALUE!</v>
      </c>
      <c r="X177" s="3">
        <v>9</v>
      </c>
      <c r="Y177" s="3">
        <v>0.79000002145767201</v>
      </c>
      <c r="Z177" s="3"/>
      <c r="AA177" s="3" t="str">
        <f t="shared" si="8"/>
        <v>Species</v>
      </c>
      <c r="AB177" s="3" t="s">
        <v>1183</v>
      </c>
      <c r="AC177" s="3" t="s">
        <v>1183</v>
      </c>
      <c r="AD177" s="3" t="s">
        <v>1183</v>
      </c>
      <c r="AE177" s="3" t="s">
        <v>1183</v>
      </c>
      <c r="AF177" s="5">
        <v>40</v>
      </c>
      <c r="AG177" s="3" t="s">
        <v>1183</v>
      </c>
      <c r="AH177" s="3" t="s">
        <v>1183</v>
      </c>
      <c r="AI177" s="3" t="s">
        <v>1183</v>
      </c>
      <c r="AJ177" s="3" t="s">
        <v>1183</v>
      </c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6">
        <v>28</v>
      </c>
      <c r="BF177" s="6">
        <v>510</v>
      </c>
      <c r="BG177" s="6">
        <v>81</v>
      </c>
    </row>
    <row r="178" spans="1:59" ht="15.75" x14ac:dyDescent="0.25">
      <c r="A178" s="3">
        <v>167</v>
      </c>
      <c r="B178" s="3" t="s">
        <v>694</v>
      </c>
      <c r="C178" s="3" t="s">
        <v>42</v>
      </c>
      <c r="D178" s="3" t="s">
        <v>1499</v>
      </c>
      <c r="E178" s="3" t="s">
        <v>669</v>
      </c>
      <c r="F178" s="3" t="s">
        <v>1504</v>
      </c>
      <c r="G178" s="3" t="s">
        <v>695</v>
      </c>
      <c r="H178" s="3" t="s">
        <v>696</v>
      </c>
      <c r="I178" s="3"/>
      <c r="J178" s="4" t="b">
        <v>0</v>
      </c>
      <c r="K178" s="3">
        <f t="shared" si="7"/>
        <v>40</v>
      </c>
      <c r="L178" s="3"/>
      <c r="M178" s="3"/>
      <c r="N178" s="3" t="b">
        <v>0</v>
      </c>
      <c r="O178" s="3"/>
      <c r="P178" s="3">
        <v>40</v>
      </c>
      <c r="Q178" s="3"/>
      <c r="R178" s="3" t="s">
        <v>1181</v>
      </c>
      <c r="S178" s="3"/>
      <c r="T178" s="3" t="s">
        <v>26</v>
      </c>
      <c r="U178" s="3" t="b">
        <v>0</v>
      </c>
      <c r="V178" s="3">
        <v>0.40000000596046398</v>
      </c>
      <c r="W178" s="3" t="str">
        <f t="shared" si="6"/>
        <v/>
      </c>
      <c r="X178" s="3">
        <v>9</v>
      </c>
      <c r="Y178" s="3">
        <v>0.79000002145767201</v>
      </c>
      <c r="Z178" s="3"/>
      <c r="AA178" s="3" t="str">
        <f t="shared" si="8"/>
        <v>Species</v>
      </c>
      <c r="AB178" s="3" t="s">
        <v>1183</v>
      </c>
      <c r="AC178" s="3" t="s">
        <v>1183</v>
      </c>
      <c r="AD178" s="3" t="s">
        <v>1183</v>
      </c>
      <c r="AE178" s="3" t="s">
        <v>1183</v>
      </c>
      <c r="AF178" s="5">
        <v>40</v>
      </c>
      <c r="AG178" s="3" t="s">
        <v>1183</v>
      </c>
      <c r="AH178" s="3" t="s">
        <v>1183</v>
      </c>
      <c r="AI178" s="3" t="s">
        <v>1183</v>
      </c>
      <c r="AJ178" s="3" t="s">
        <v>1183</v>
      </c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6">
        <v>58</v>
      </c>
      <c r="BF178" s="6">
        <v>48</v>
      </c>
      <c r="BG178" s="6">
        <v>61</v>
      </c>
    </row>
    <row r="179" spans="1:59" ht="15.75" x14ac:dyDescent="0.25">
      <c r="A179" s="3">
        <v>168</v>
      </c>
      <c r="B179" s="3" t="s">
        <v>668</v>
      </c>
      <c r="C179" s="3" t="s">
        <v>42</v>
      </c>
      <c r="D179" s="3" t="s">
        <v>1499</v>
      </c>
      <c r="E179" s="3" t="s">
        <v>669</v>
      </c>
      <c r="F179" s="3" t="s">
        <v>1505</v>
      </c>
      <c r="G179" s="3" t="s">
        <v>670</v>
      </c>
      <c r="H179" s="3" t="s">
        <v>671</v>
      </c>
      <c r="I179" s="3"/>
      <c r="J179" s="4" t="b">
        <v>0</v>
      </c>
      <c r="K179" s="3" t="str">
        <f t="shared" si="7"/>
        <v/>
      </c>
      <c r="L179" s="3"/>
      <c r="M179" s="3"/>
      <c r="N179" s="3" t="b">
        <v>0</v>
      </c>
      <c r="O179" s="3"/>
      <c r="P179" s="3">
        <v>40</v>
      </c>
      <c r="Q179" s="3"/>
      <c r="R179" s="3" t="s">
        <v>1181</v>
      </c>
      <c r="S179" s="3" t="s">
        <v>672</v>
      </c>
      <c r="T179" s="3" t="s">
        <v>26</v>
      </c>
      <c r="U179" s="3" t="b">
        <v>0</v>
      </c>
      <c r="V179" s="3">
        <v>0.40000000596046398</v>
      </c>
      <c r="W179" s="3" t="e">
        <f t="shared" si="6"/>
        <v>#VALUE!</v>
      </c>
      <c r="X179" s="3">
        <v>9</v>
      </c>
      <c r="Y179" s="3">
        <v>0.79000002145767201</v>
      </c>
      <c r="Z179" s="3"/>
      <c r="AA179" s="3" t="str">
        <f t="shared" si="8"/>
        <v>Species</v>
      </c>
      <c r="AB179" s="3" t="s">
        <v>1183</v>
      </c>
      <c r="AC179" s="3" t="s">
        <v>1183</v>
      </c>
      <c r="AD179" s="3" t="s">
        <v>1183</v>
      </c>
      <c r="AE179" s="3" t="s">
        <v>1183</v>
      </c>
      <c r="AF179" s="5" t="s">
        <v>1183</v>
      </c>
      <c r="AG179" s="3" t="s">
        <v>1183</v>
      </c>
      <c r="AH179" s="3" t="s">
        <v>1183</v>
      </c>
      <c r="AI179" s="3" t="s">
        <v>1183</v>
      </c>
      <c r="AJ179" s="3" t="s">
        <v>1183</v>
      </c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6" t="e">
        <v>#NUM!</v>
      </c>
      <c r="BF179" s="6">
        <v>0</v>
      </c>
      <c r="BG179" s="6" t="e">
        <v>#NUM!</v>
      </c>
    </row>
    <row r="180" spans="1:59" ht="15.75" x14ac:dyDescent="0.25">
      <c r="A180" s="3">
        <v>169</v>
      </c>
      <c r="B180" s="3" t="s">
        <v>682</v>
      </c>
      <c r="C180" s="3" t="s">
        <v>42</v>
      </c>
      <c r="D180" s="3" t="s">
        <v>1499</v>
      </c>
      <c r="E180" s="3" t="s">
        <v>669</v>
      </c>
      <c r="F180" s="3" t="s">
        <v>1506</v>
      </c>
      <c r="G180" s="3" t="s">
        <v>683</v>
      </c>
      <c r="H180" s="3" t="s">
        <v>684</v>
      </c>
      <c r="I180" s="3"/>
      <c r="J180" s="4" t="b">
        <v>1</v>
      </c>
      <c r="K180" s="3">
        <f t="shared" si="7"/>
        <v>30</v>
      </c>
      <c r="L180" s="3"/>
      <c r="M180" s="3"/>
      <c r="N180" s="3" t="b">
        <v>0</v>
      </c>
      <c r="O180" s="3"/>
      <c r="P180" s="3">
        <v>22.799999237060501</v>
      </c>
      <c r="Q180" s="3"/>
      <c r="R180" s="3" t="s">
        <v>1181</v>
      </c>
      <c r="S180" s="3"/>
      <c r="T180" s="3" t="s">
        <v>26</v>
      </c>
      <c r="U180" s="3" t="b">
        <v>0</v>
      </c>
      <c r="V180" s="3">
        <v>0.40000000596046398</v>
      </c>
      <c r="W180" s="3" t="str">
        <f t="shared" si="6"/>
        <v/>
      </c>
      <c r="X180" s="3">
        <v>9</v>
      </c>
      <c r="Y180" s="3">
        <v>0.79000002145767201</v>
      </c>
      <c r="Z180" s="3"/>
      <c r="AA180" s="3" t="str">
        <f t="shared" si="8"/>
        <v>Species</v>
      </c>
      <c r="AB180" s="3">
        <v>25</v>
      </c>
      <c r="AC180" s="3" t="s">
        <v>1183</v>
      </c>
      <c r="AD180" s="3" t="s">
        <v>1183</v>
      </c>
      <c r="AE180" s="3">
        <v>25</v>
      </c>
      <c r="AF180" s="5">
        <v>30</v>
      </c>
      <c r="AG180" s="3" t="s">
        <v>1183</v>
      </c>
      <c r="AH180" s="3" t="s">
        <v>1183</v>
      </c>
      <c r="AI180" s="3" t="s">
        <v>1183</v>
      </c>
      <c r="AJ180" s="3" t="s">
        <v>1183</v>
      </c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6">
        <v>42.600000000000051</v>
      </c>
      <c r="BF180" s="6">
        <v>189</v>
      </c>
      <c r="BG180" s="6">
        <v>150</v>
      </c>
    </row>
    <row r="181" spans="1:59" ht="15.75" x14ac:dyDescent="0.25">
      <c r="A181" s="3">
        <v>170</v>
      </c>
      <c r="B181" s="3" t="s">
        <v>691</v>
      </c>
      <c r="C181" s="3" t="s">
        <v>42</v>
      </c>
      <c r="D181" s="3" t="s">
        <v>1499</v>
      </c>
      <c r="E181" s="3" t="s">
        <v>669</v>
      </c>
      <c r="F181" s="3" t="s">
        <v>1507</v>
      </c>
      <c r="G181" s="3" t="s">
        <v>692</v>
      </c>
      <c r="H181" s="3" t="s">
        <v>1508</v>
      </c>
      <c r="I181" s="3"/>
      <c r="J181" s="4" t="s">
        <v>1188</v>
      </c>
      <c r="K181" s="3" t="str">
        <f t="shared" si="7"/>
        <v/>
      </c>
      <c r="L181" s="3"/>
      <c r="M181" s="3"/>
      <c r="N181" s="3" t="b">
        <v>0</v>
      </c>
      <c r="O181" s="3"/>
      <c r="P181" s="3"/>
      <c r="Q181" s="3"/>
      <c r="R181" s="3" t="s">
        <v>1181</v>
      </c>
      <c r="S181" s="3"/>
      <c r="T181" s="3"/>
      <c r="U181" s="3"/>
      <c r="V181" s="3"/>
      <c r="W181" s="3" t="str">
        <f t="shared" si="6"/>
        <v/>
      </c>
      <c r="X181" s="3">
        <v>9</v>
      </c>
      <c r="Y181" s="3">
        <v>0.79000002145767201</v>
      </c>
      <c r="Z181" s="3"/>
      <c r="AA181" s="3" t="str">
        <f t="shared" si="8"/>
        <v>Genus</v>
      </c>
      <c r="AB181" s="3" t="s">
        <v>1183</v>
      </c>
      <c r="AC181" s="3" t="s">
        <v>1183</v>
      </c>
      <c r="AD181" s="3" t="s">
        <v>1183</v>
      </c>
      <c r="AE181" s="3" t="s">
        <v>1183</v>
      </c>
      <c r="AF181" s="5"/>
      <c r="AG181" s="3" t="s">
        <v>1183</v>
      </c>
      <c r="AH181" s="3" t="s">
        <v>1183</v>
      </c>
      <c r="AI181" s="3" t="s">
        <v>1183</v>
      </c>
      <c r="AJ181" s="3" t="s">
        <v>1183</v>
      </c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6">
        <v>34.400000000000006</v>
      </c>
      <c r="BF181" s="6">
        <v>353</v>
      </c>
      <c r="BG181" s="6">
        <v>64</v>
      </c>
    </row>
    <row r="182" spans="1:59" ht="15.75" x14ac:dyDescent="0.25">
      <c r="A182" s="3">
        <v>171</v>
      </c>
      <c r="B182" s="3" t="s">
        <v>676</v>
      </c>
      <c r="C182" s="3" t="s">
        <v>42</v>
      </c>
      <c r="D182" s="3" t="s">
        <v>1499</v>
      </c>
      <c r="E182" s="3" t="s">
        <v>669</v>
      </c>
      <c r="F182" s="3" t="s">
        <v>1509</v>
      </c>
      <c r="G182" s="3" t="s">
        <v>677</v>
      </c>
      <c r="H182" s="3" t="s">
        <v>678</v>
      </c>
      <c r="I182" s="3"/>
      <c r="J182" s="4" t="b">
        <v>0</v>
      </c>
      <c r="K182" s="3" t="str">
        <f t="shared" si="7"/>
        <v/>
      </c>
      <c r="L182" s="3"/>
      <c r="M182" s="3"/>
      <c r="N182" s="3" t="b">
        <v>0</v>
      </c>
      <c r="O182" s="3"/>
      <c r="P182" s="3">
        <v>40</v>
      </c>
      <c r="Q182" s="3"/>
      <c r="R182" s="3" t="s">
        <v>1181</v>
      </c>
      <c r="S182" s="3"/>
      <c r="T182" s="3" t="s">
        <v>26</v>
      </c>
      <c r="U182" s="3" t="b">
        <v>0</v>
      </c>
      <c r="V182" s="3">
        <v>0.40000000596046398</v>
      </c>
      <c r="W182" s="3" t="str">
        <f t="shared" si="6"/>
        <v/>
      </c>
      <c r="X182" s="3">
        <v>9</v>
      </c>
      <c r="Y182" s="3">
        <v>0.79000002145767201</v>
      </c>
      <c r="Z182" s="3"/>
      <c r="AA182" s="3" t="str">
        <f t="shared" si="8"/>
        <v>Species</v>
      </c>
      <c r="AB182" s="3" t="s">
        <v>1183</v>
      </c>
      <c r="AC182" s="3" t="s">
        <v>1183</v>
      </c>
      <c r="AD182" s="3" t="s">
        <v>1183</v>
      </c>
      <c r="AE182" s="3" t="s">
        <v>1183</v>
      </c>
      <c r="AF182" s="5" t="s">
        <v>1183</v>
      </c>
      <c r="AG182" s="3" t="s">
        <v>1183</v>
      </c>
      <c r="AH182" s="3" t="s">
        <v>1183</v>
      </c>
      <c r="AI182" s="3" t="s">
        <v>1183</v>
      </c>
      <c r="AJ182" s="3" t="s">
        <v>1183</v>
      </c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6">
        <v>15</v>
      </c>
      <c r="BF182" s="6">
        <v>1</v>
      </c>
      <c r="BG182" s="6">
        <v>15</v>
      </c>
    </row>
    <row r="183" spans="1:59" ht="15.75" x14ac:dyDescent="0.25">
      <c r="A183" s="3">
        <v>172</v>
      </c>
      <c r="B183" s="3" t="s">
        <v>705</v>
      </c>
      <c r="C183" s="3" t="s">
        <v>701</v>
      </c>
      <c r="D183" s="3" t="s">
        <v>1510</v>
      </c>
      <c r="E183" s="3" t="s">
        <v>702</v>
      </c>
      <c r="F183" s="3" t="s">
        <v>1511</v>
      </c>
      <c r="G183" s="3" t="s">
        <v>706</v>
      </c>
      <c r="H183" s="3" t="s">
        <v>707</v>
      </c>
      <c r="I183" s="3"/>
      <c r="J183" s="4" t="b">
        <v>0</v>
      </c>
      <c r="K183" s="3" t="str">
        <f t="shared" si="7"/>
        <v/>
      </c>
      <c r="L183" s="3"/>
      <c r="M183" s="3"/>
      <c r="N183" s="3" t="b">
        <v>0</v>
      </c>
      <c r="O183" s="3"/>
      <c r="P183" s="3">
        <v>40</v>
      </c>
      <c r="Q183" s="3"/>
      <c r="R183" s="3" t="s">
        <v>1181</v>
      </c>
      <c r="S183" s="3"/>
      <c r="T183" s="3" t="s">
        <v>26</v>
      </c>
      <c r="U183" s="3" t="b">
        <v>0</v>
      </c>
      <c r="V183" s="3">
        <v>0.80000001192092896</v>
      </c>
      <c r="W183" s="3" t="str">
        <f t="shared" si="6"/>
        <v/>
      </c>
      <c r="X183" s="3">
        <v>9</v>
      </c>
      <c r="Y183" s="3">
        <v>0.79000002145767201</v>
      </c>
      <c r="Z183" s="3"/>
      <c r="AA183" s="3" t="str">
        <f t="shared" si="8"/>
        <v>Species</v>
      </c>
      <c r="AB183" s="3" t="s">
        <v>1183</v>
      </c>
      <c r="AC183" s="3" t="s">
        <v>1183</v>
      </c>
      <c r="AD183" s="3" t="s">
        <v>1183</v>
      </c>
      <c r="AE183" s="3" t="s">
        <v>1183</v>
      </c>
      <c r="AF183" s="5" t="s">
        <v>1183</v>
      </c>
      <c r="AG183" s="3" t="s">
        <v>1183</v>
      </c>
      <c r="AH183" s="3" t="s">
        <v>1183</v>
      </c>
      <c r="AI183" s="3" t="s">
        <v>1183</v>
      </c>
      <c r="AJ183" s="3" t="s">
        <v>1183</v>
      </c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6">
        <v>12.799999999999999</v>
      </c>
      <c r="BF183" s="6">
        <v>3</v>
      </c>
      <c r="BG183" s="6">
        <v>14</v>
      </c>
    </row>
    <row r="184" spans="1:59" ht="15.75" x14ac:dyDescent="0.25">
      <c r="A184" s="3">
        <v>173</v>
      </c>
      <c r="B184" s="3" t="s">
        <v>708</v>
      </c>
      <c r="C184" s="3" t="s">
        <v>701</v>
      </c>
      <c r="D184" s="3" t="s">
        <v>1510</v>
      </c>
      <c r="E184" s="3" t="s">
        <v>702</v>
      </c>
      <c r="F184" s="3" t="s">
        <v>1512</v>
      </c>
      <c r="G184" s="3" t="s">
        <v>709</v>
      </c>
      <c r="H184" s="3" t="s">
        <v>710</v>
      </c>
      <c r="I184" s="3"/>
      <c r="J184" s="4" t="b">
        <v>1</v>
      </c>
      <c r="K184" s="3">
        <f t="shared" si="7"/>
        <v>40</v>
      </c>
      <c r="L184" s="3"/>
      <c r="M184" s="3"/>
      <c r="N184" s="3" t="b">
        <v>0</v>
      </c>
      <c r="O184" s="3"/>
      <c r="P184" s="3">
        <v>21.299999237060501</v>
      </c>
      <c r="Q184" s="3"/>
      <c r="R184" s="3" t="s">
        <v>1181</v>
      </c>
      <c r="S184" s="3"/>
      <c r="T184" s="3" t="s">
        <v>26</v>
      </c>
      <c r="U184" s="3" t="b">
        <v>0</v>
      </c>
      <c r="V184" s="3">
        <v>0.60000002384185802</v>
      </c>
      <c r="W184" s="3" t="str">
        <f t="shared" si="6"/>
        <v/>
      </c>
      <c r="X184" s="3">
        <v>9</v>
      </c>
      <c r="Y184" s="3">
        <v>0.79000002145767201</v>
      </c>
      <c r="Z184" s="3"/>
      <c r="AA184" s="3" t="str">
        <f t="shared" si="8"/>
        <v>Species</v>
      </c>
      <c r="AB184" s="3">
        <v>40</v>
      </c>
      <c r="AC184" s="3" t="s">
        <v>1183</v>
      </c>
      <c r="AD184" s="3" t="s">
        <v>1183</v>
      </c>
      <c r="AE184" s="3">
        <v>40</v>
      </c>
      <c r="AF184" s="5">
        <v>40</v>
      </c>
      <c r="AG184" s="3" t="s">
        <v>1183</v>
      </c>
      <c r="AH184" s="3" t="s">
        <v>1183</v>
      </c>
      <c r="AI184" s="3" t="s">
        <v>1183</v>
      </c>
      <c r="AJ184" s="3" t="s">
        <v>1183</v>
      </c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6">
        <v>42.05</v>
      </c>
      <c r="BF184" s="6">
        <v>146</v>
      </c>
      <c r="BG184" s="6">
        <v>115</v>
      </c>
    </row>
    <row r="185" spans="1:59" ht="15.75" x14ac:dyDescent="0.25">
      <c r="A185" s="3">
        <v>174</v>
      </c>
      <c r="B185" s="3" t="s">
        <v>711</v>
      </c>
      <c r="C185" s="3" t="s">
        <v>701</v>
      </c>
      <c r="D185" s="3" t="s">
        <v>1510</v>
      </c>
      <c r="E185" s="3" t="s">
        <v>702</v>
      </c>
      <c r="F185" s="3" t="s">
        <v>1513</v>
      </c>
      <c r="G185" s="3" t="s">
        <v>712</v>
      </c>
      <c r="H185" s="3" t="s">
        <v>1514</v>
      </c>
      <c r="I185" s="3"/>
      <c r="J185" s="4" t="s">
        <v>1188</v>
      </c>
      <c r="K185" s="3" t="str">
        <f t="shared" si="7"/>
        <v/>
      </c>
      <c r="L185" s="3"/>
      <c r="M185" s="3"/>
      <c r="N185" s="3" t="b">
        <v>0</v>
      </c>
      <c r="O185" s="3"/>
      <c r="P185" s="3"/>
      <c r="Q185" s="3"/>
      <c r="R185" s="3" t="s">
        <v>1181</v>
      </c>
      <c r="S185" s="3"/>
      <c r="T185" s="3"/>
      <c r="U185" s="3"/>
      <c r="V185" s="3"/>
      <c r="W185" s="3" t="str">
        <f t="shared" si="6"/>
        <v/>
      </c>
      <c r="X185" s="3">
        <v>9</v>
      </c>
      <c r="Y185" s="3">
        <v>0.79000002145767201</v>
      </c>
      <c r="Z185" s="3"/>
      <c r="AA185" s="3" t="str">
        <f t="shared" si="8"/>
        <v>Genus</v>
      </c>
      <c r="AB185" s="3" t="s">
        <v>1183</v>
      </c>
      <c r="AC185" s="3" t="s">
        <v>1183</v>
      </c>
      <c r="AD185" s="3" t="s">
        <v>1183</v>
      </c>
      <c r="AE185" s="3" t="s">
        <v>1183</v>
      </c>
      <c r="AF185" s="5"/>
      <c r="AG185" s="3" t="s">
        <v>1183</v>
      </c>
      <c r="AH185" s="3" t="s">
        <v>1183</v>
      </c>
      <c r="AI185" s="3" t="s">
        <v>1183</v>
      </c>
      <c r="AJ185" s="3" t="s">
        <v>1183</v>
      </c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6">
        <v>32</v>
      </c>
      <c r="BF185" s="6">
        <v>432</v>
      </c>
      <c r="BG185" s="6">
        <v>140</v>
      </c>
    </row>
    <row r="186" spans="1:59" ht="15.75" x14ac:dyDescent="0.25">
      <c r="A186" s="3">
        <v>175</v>
      </c>
      <c r="B186" s="3" t="s">
        <v>700</v>
      </c>
      <c r="C186" s="3" t="s">
        <v>701</v>
      </c>
      <c r="D186" s="3" t="s">
        <v>1510</v>
      </c>
      <c r="E186" s="3" t="s">
        <v>702</v>
      </c>
      <c r="F186" s="3" t="s">
        <v>1515</v>
      </c>
      <c r="G186" s="3" t="s">
        <v>703</v>
      </c>
      <c r="H186" s="3" t="s">
        <v>704</v>
      </c>
      <c r="I186" s="3"/>
      <c r="J186" s="4" t="b">
        <v>0</v>
      </c>
      <c r="K186" s="3">
        <f t="shared" si="7"/>
        <v>40</v>
      </c>
      <c r="L186" s="3"/>
      <c r="M186" s="3"/>
      <c r="N186" s="3" t="b">
        <v>0</v>
      </c>
      <c r="O186" s="3"/>
      <c r="P186" s="3">
        <v>40</v>
      </c>
      <c r="Q186" s="3"/>
      <c r="R186" s="3" t="s">
        <v>1181</v>
      </c>
      <c r="S186" s="3" t="s">
        <v>191</v>
      </c>
      <c r="T186" s="3" t="s">
        <v>26</v>
      </c>
      <c r="U186" s="3" t="b">
        <v>0</v>
      </c>
      <c r="V186" s="3">
        <v>0.60000002384185802</v>
      </c>
      <c r="W186" s="3" t="e">
        <f t="shared" si="6"/>
        <v>#VALUE!</v>
      </c>
      <c r="X186" s="3">
        <v>9</v>
      </c>
      <c r="Y186" s="3">
        <v>0.79000002145767201</v>
      </c>
      <c r="Z186" s="3"/>
      <c r="AA186" s="3" t="str">
        <f t="shared" si="8"/>
        <v>Species</v>
      </c>
      <c r="AB186" s="3" t="s">
        <v>1183</v>
      </c>
      <c r="AC186" s="3" t="s">
        <v>1183</v>
      </c>
      <c r="AD186" s="3" t="s">
        <v>1183</v>
      </c>
      <c r="AE186" s="3">
        <v>106</v>
      </c>
      <c r="AF186" s="5">
        <v>40</v>
      </c>
      <c r="AG186" s="3" t="s">
        <v>1183</v>
      </c>
      <c r="AH186" s="3" t="s">
        <v>1183</v>
      </c>
      <c r="AI186" s="3" t="s">
        <v>1183</v>
      </c>
      <c r="AJ186" s="3" t="s">
        <v>1183</v>
      </c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6">
        <v>36.050000000000011</v>
      </c>
      <c r="BF186" s="6">
        <v>460</v>
      </c>
      <c r="BG186" s="6">
        <v>145</v>
      </c>
    </row>
    <row r="187" spans="1:59" ht="15.75" x14ac:dyDescent="0.25">
      <c r="A187" s="3">
        <v>176</v>
      </c>
      <c r="B187" s="3" t="s">
        <v>1027</v>
      </c>
      <c r="C187" s="3" t="s">
        <v>482</v>
      </c>
      <c r="D187" s="3" t="s">
        <v>1516</v>
      </c>
      <c r="E187" s="3" t="s">
        <v>1024</v>
      </c>
      <c r="F187" s="3" t="s">
        <v>1517</v>
      </c>
      <c r="G187" s="3" t="s">
        <v>1028</v>
      </c>
      <c r="H187" s="3" t="s">
        <v>1029</v>
      </c>
      <c r="I187" s="3"/>
      <c r="J187" s="4" t="b">
        <v>1</v>
      </c>
      <c r="K187" s="3">
        <f t="shared" si="7"/>
        <v>15</v>
      </c>
      <c r="L187" s="3"/>
      <c r="M187" s="3"/>
      <c r="N187" s="3" t="b">
        <v>0</v>
      </c>
      <c r="O187" s="3"/>
      <c r="P187" s="3">
        <v>15</v>
      </c>
      <c r="Q187" s="3"/>
      <c r="R187" s="3" t="s">
        <v>1181</v>
      </c>
      <c r="S187" s="3" t="s">
        <v>1030</v>
      </c>
      <c r="T187" s="3" t="s">
        <v>26</v>
      </c>
      <c r="U187" s="3" t="b">
        <v>0</v>
      </c>
      <c r="V187" s="3">
        <v>0.60000002384185802</v>
      </c>
      <c r="W187" s="3" t="e">
        <f t="shared" si="6"/>
        <v>#VALUE!</v>
      </c>
      <c r="X187" s="3">
        <v>9</v>
      </c>
      <c r="Y187" s="3">
        <v>0.79000002145767201</v>
      </c>
      <c r="Z187" s="3"/>
      <c r="AA187" s="3" t="str">
        <f t="shared" si="8"/>
        <v>Species</v>
      </c>
      <c r="AB187" s="3">
        <v>15</v>
      </c>
      <c r="AC187" s="3" t="s">
        <v>1183</v>
      </c>
      <c r="AD187" s="3" t="s">
        <v>1183</v>
      </c>
      <c r="AE187" s="3">
        <v>15</v>
      </c>
      <c r="AF187" s="5">
        <v>15</v>
      </c>
      <c r="AG187" s="3" t="s">
        <v>1183</v>
      </c>
      <c r="AH187" s="3" t="s">
        <v>1183</v>
      </c>
      <c r="AI187" s="3" t="s">
        <v>1183</v>
      </c>
      <c r="AJ187" s="3" t="s">
        <v>1183</v>
      </c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6">
        <v>9</v>
      </c>
      <c r="BF187" s="6">
        <v>31</v>
      </c>
      <c r="BG187" s="6">
        <v>12.8999996185303</v>
      </c>
    </row>
    <row r="188" spans="1:59" ht="15.75" x14ac:dyDescent="0.25">
      <c r="A188" s="3">
        <v>177</v>
      </c>
      <c r="B188" s="3" t="s">
        <v>760</v>
      </c>
      <c r="C188" s="3" t="s">
        <v>95</v>
      </c>
      <c r="D188" s="3" t="s">
        <v>1518</v>
      </c>
      <c r="E188" s="3" t="s">
        <v>716</v>
      </c>
      <c r="F188" s="3" t="s">
        <v>1519</v>
      </c>
      <c r="G188" s="3" t="s">
        <v>761</v>
      </c>
      <c r="H188" s="3" t="s">
        <v>762</v>
      </c>
      <c r="I188" s="3"/>
      <c r="J188" s="4" t="b">
        <v>1</v>
      </c>
      <c r="K188" s="3">
        <f t="shared" si="7"/>
        <v>90</v>
      </c>
      <c r="L188" s="3"/>
      <c r="M188" s="3"/>
      <c r="N188" s="3" t="b">
        <v>0</v>
      </c>
      <c r="O188" s="3"/>
      <c r="P188" s="3">
        <v>78</v>
      </c>
      <c r="Q188" s="3" t="s">
        <v>1213</v>
      </c>
      <c r="R188" s="3" t="s">
        <v>1181</v>
      </c>
      <c r="S188" s="3" t="s">
        <v>264</v>
      </c>
      <c r="T188" s="3" t="s">
        <v>26</v>
      </c>
      <c r="U188" s="3" t="b">
        <v>0</v>
      </c>
      <c r="V188" s="3">
        <v>0.68000000715255704</v>
      </c>
      <c r="W188" s="3" t="e">
        <f t="shared" si="6"/>
        <v>#VALUE!</v>
      </c>
      <c r="X188" s="3">
        <v>9</v>
      </c>
      <c r="Y188" s="3">
        <v>0.78500002622604403</v>
      </c>
      <c r="Z188" s="3"/>
      <c r="AA188" s="3" t="str">
        <f t="shared" si="8"/>
        <v>Species</v>
      </c>
      <c r="AB188" s="3">
        <v>90</v>
      </c>
      <c r="AC188" s="3" t="s">
        <v>1183</v>
      </c>
      <c r="AD188" s="3" t="s">
        <v>1183</v>
      </c>
      <c r="AE188" s="3">
        <v>90</v>
      </c>
      <c r="AF188" s="5">
        <v>90</v>
      </c>
      <c r="AG188" s="3" t="s">
        <v>1183</v>
      </c>
      <c r="AH188" s="3" t="s">
        <v>1183</v>
      </c>
      <c r="AI188" s="3" t="s">
        <v>1183</v>
      </c>
      <c r="AJ188" s="3" t="s">
        <v>1183</v>
      </c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6">
        <v>67.38000000000001</v>
      </c>
      <c r="BF188" s="6">
        <v>83</v>
      </c>
      <c r="BG188" s="6">
        <v>89.9</v>
      </c>
    </row>
    <row r="189" spans="1:59" ht="15.75" x14ac:dyDescent="0.25">
      <c r="A189" s="3">
        <v>178</v>
      </c>
      <c r="B189" s="3" t="s">
        <v>738</v>
      </c>
      <c r="C189" s="3" t="s">
        <v>95</v>
      </c>
      <c r="D189" s="3" t="s">
        <v>1518</v>
      </c>
      <c r="E189" s="3" t="s">
        <v>716</v>
      </c>
      <c r="F189" s="3" t="s">
        <v>1520</v>
      </c>
      <c r="G189" s="3" t="s">
        <v>739</v>
      </c>
      <c r="H189" s="3" t="s">
        <v>740</v>
      </c>
      <c r="I189" s="3" t="s">
        <v>1521</v>
      </c>
      <c r="J189" s="4" t="b">
        <v>1</v>
      </c>
      <c r="K189" s="3">
        <f t="shared" si="7"/>
        <v>70</v>
      </c>
      <c r="L189" s="3"/>
      <c r="M189" s="3"/>
      <c r="N189" s="3" t="b">
        <v>1</v>
      </c>
      <c r="O189" s="3"/>
      <c r="P189" s="3">
        <v>81.599998474121094</v>
      </c>
      <c r="Q189" s="3" t="s">
        <v>1213</v>
      </c>
      <c r="R189" s="3" t="s">
        <v>1181</v>
      </c>
      <c r="S189" s="3" t="s">
        <v>248</v>
      </c>
      <c r="T189" s="3" t="s">
        <v>26</v>
      </c>
      <c r="U189" s="3" t="b">
        <v>1</v>
      </c>
      <c r="V189" s="3">
        <v>0.75999999046325695</v>
      </c>
      <c r="W189" s="3" t="e">
        <f t="shared" si="6"/>
        <v>#VALUE!</v>
      </c>
      <c r="X189" s="3">
        <v>9</v>
      </c>
      <c r="Y189" s="3">
        <v>0.78500002622604403</v>
      </c>
      <c r="Z189" s="3"/>
      <c r="AA189" s="3" t="str">
        <f t="shared" si="8"/>
        <v>Species</v>
      </c>
      <c r="AB189" s="3">
        <v>60</v>
      </c>
      <c r="AC189" s="3" t="s">
        <v>1183</v>
      </c>
      <c r="AD189" s="3" t="s">
        <v>1183</v>
      </c>
      <c r="AE189" s="3">
        <v>60</v>
      </c>
      <c r="AF189" s="5">
        <v>70</v>
      </c>
      <c r="AG189" s="3" t="s">
        <v>1522</v>
      </c>
      <c r="AH189" s="3">
        <v>60</v>
      </c>
      <c r="AI189" s="3">
        <v>80</v>
      </c>
      <c r="AJ189" s="3">
        <v>12</v>
      </c>
      <c r="AK189" s="3">
        <v>18</v>
      </c>
      <c r="AL189" s="3"/>
      <c r="AM189" s="3"/>
      <c r="AN189" s="3"/>
      <c r="AO189" s="3"/>
      <c r="AP189" s="3"/>
      <c r="AQ189" s="3"/>
      <c r="AR189" s="3"/>
      <c r="AS189" s="3">
        <v>60</v>
      </c>
      <c r="AT189" s="3"/>
      <c r="AU189" s="3">
        <v>15</v>
      </c>
      <c r="AV189" s="3"/>
      <c r="AW189" s="3"/>
      <c r="AX189" s="3"/>
      <c r="AY189" s="3"/>
      <c r="AZ189" s="3"/>
      <c r="BA189" s="3"/>
      <c r="BB189" s="3"/>
      <c r="BC189" s="3"/>
      <c r="BD189" s="3"/>
      <c r="BE189" s="6">
        <v>70</v>
      </c>
      <c r="BF189" s="6">
        <v>1076</v>
      </c>
      <c r="BG189" s="6">
        <v>156</v>
      </c>
    </row>
    <row r="190" spans="1:59" ht="15.75" x14ac:dyDescent="0.25">
      <c r="A190" s="3">
        <v>179</v>
      </c>
      <c r="B190" s="3" t="s">
        <v>741</v>
      </c>
      <c r="C190" s="3" t="s">
        <v>95</v>
      </c>
      <c r="D190" s="3" t="s">
        <v>1518</v>
      </c>
      <c r="E190" s="3" t="s">
        <v>716</v>
      </c>
      <c r="F190" s="3" t="s">
        <v>1523</v>
      </c>
      <c r="G190" s="3" t="s">
        <v>742</v>
      </c>
      <c r="H190" s="3" t="s">
        <v>743</v>
      </c>
      <c r="I190" s="3"/>
      <c r="J190" s="4" t="b">
        <v>1</v>
      </c>
      <c r="K190" s="3">
        <f t="shared" si="7"/>
        <v>60</v>
      </c>
      <c r="L190" s="3"/>
      <c r="M190" s="3"/>
      <c r="N190" s="3" t="b">
        <v>0</v>
      </c>
      <c r="O190" s="3"/>
      <c r="P190" s="3">
        <v>61.200000762939503</v>
      </c>
      <c r="Q190" s="3"/>
      <c r="R190" s="3" t="s">
        <v>1181</v>
      </c>
      <c r="S190" s="3" t="s">
        <v>264</v>
      </c>
      <c r="T190" s="3" t="s">
        <v>26</v>
      </c>
      <c r="U190" s="3" t="b">
        <v>0</v>
      </c>
      <c r="V190" s="3">
        <v>0.69999998807907104</v>
      </c>
      <c r="W190" s="3" t="e">
        <f t="shared" si="6"/>
        <v>#VALUE!</v>
      </c>
      <c r="X190" s="3">
        <v>9</v>
      </c>
      <c r="Y190" s="3">
        <v>0.78500002622604403</v>
      </c>
      <c r="Z190" s="3"/>
      <c r="AA190" s="3" t="str">
        <f t="shared" si="8"/>
        <v>Species</v>
      </c>
      <c r="AB190" s="3">
        <v>60</v>
      </c>
      <c r="AC190" s="3" t="s">
        <v>1183</v>
      </c>
      <c r="AD190" s="3" t="s">
        <v>1183</v>
      </c>
      <c r="AE190" s="3">
        <v>60</v>
      </c>
      <c r="AF190" s="5">
        <v>60</v>
      </c>
      <c r="AG190" s="3" t="s">
        <v>1183</v>
      </c>
      <c r="AH190" s="3" t="s">
        <v>1183</v>
      </c>
      <c r="AI190" s="3" t="s">
        <v>1183</v>
      </c>
      <c r="AJ190" s="3" t="s">
        <v>1183</v>
      </c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6">
        <v>17.799999999999997</v>
      </c>
      <c r="BF190" s="6">
        <v>15</v>
      </c>
      <c r="BG190" s="6">
        <v>135</v>
      </c>
    </row>
    <row r="191" spans="1:59" ht="15.75" x14ac:dyDescent="0.25">
      <c r="A191" s="3">
        <v>180</v>
      </c>
      <c r="B191" s="3" t="s">
        <v>747</v>
      </c>
      <c r="C191" s="3" t="s">
        <v>95</v>
      </c>
      <c r="D191" s="3" t="s">
        <v>1518</v>
      </c>
      <c r="E191" s="3" t="s">
        <v>716</v>
      </c>
      <c r="F191" s="3" t="s">
        <v>1524</v>
      </c>
      <c r="G191" s="3" t="s">
        <v>748</v>
      </c>
      <c r="H191" s="3" t="s">
        <v>749</v>
      </c>
      <c r="I191" s="3"/>
      <c r="J191" s="4" t="b">
        <v>0</v>
      </c>
      <c r="K191" s="3">
        <f t="shared" si="7"/>
        <v>70</v>
      </c>
      <c r="L191" s="3"/>
      <c r="M191" s="3"/>
      <c r="N191" s="3" t="b">
        <v>1</v>
      </c>
      <c r="O191" s="3"/>
      <c r="P191" s="3">
        <v>40</v>
      </c>
      <c r="Q191" s="3" t="s">
        <v>1388</v>
      </c>
      <c r="R191" s="3" t="s">
        <v>1181</v>
      </c>
      <c r="S191" s="3" t="s">
        <v>65</v>
      </c>
      <c r="T191" s="3" t="s">
        <v>26</v>
      </c>
      <c r="U191" s="3" t="b">
        <v>0</v>
      </c>
      <c r="V191" s="3">
        <v>0.79000002145767201</v>
      </c>
      <c r="W191" s="3" t="e">
        <f t="shared" si="6"/>
        <v>#VALUE!</v>
      </c>
      <c r="X191" s="3">
        <v>9</v>
      </c>
      <c r="Y191" s="3">
        <v>0.81000000238418601</v>
      </c>
      <c r="Z191" s="3"/>
      <c r="AA191" s="3" t="str">
        <f t="shared" si="8"/>
        <v>Species</v>
      </c>
      <c r="AB191" s="3" t="s">
        <v>1183</v>
      </c>
      <c r="AC191" s="3" t="s">
        <v>1183</v>
      </c>
      <c r="AD191" s="3" t="s">
        <v>1183</v>
      </c>
      <c r="AE191" s="3">
        <v>75</v>
      </c>
      <c r="AF191" s="5">
        <v>70</v>
      </c>
      <c r="AG191" s="3" t="s">
        <v>1183</v>
      </c>
      <c r="AH191" s="3" t="s">
        <v>1183</v>
      </c>
      <c r="AI191" s="3" t="s">
        <v>1183</v>
      </c>
      <c r="AJ191" s="3" t="s">
        <v>1183</v>
      </c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6">
        <v>45.300000000000068</v>
      </c>
      <c r="BF191" s="6">
        <v>628</v>
      </c>
      <c r="BG191" s="6">
        <v>100</v>
      </c>
    </row>
    <row r="192" spans="1:59" ht="15.75" x14ac:dyDescent="0.25">
      <c r="A192" s="3">
        <v>181</v>
      </c>
      <c r="B192" s="3" t="s">
        <v>731</v>
      </c>
      <c r="C192" s="3" t="s">
        <v>95</v>
      </c>
      <c r="D192" s="3" t="s">
        <v>1518</v>
      </c>
      <c r="E192" s="3" t="s">
        <v>716</v>
      </c>
      <c r="F192" s="3" t="s">
        <v>1525</v>
      </c>
      <c r="G192" s="3" t="s">
        <v>732</v>
      </c>
      <c r="H192" s="3" t="s">
        <v>733</v>
      </c>
      <c r="I192" s="3"/>
      <c r="J192" s="4" t="b">
        <v>0</v>
      </c>
      <c r="K192" s="3">
        <f t="shared" si="7"/>
        <v>80</v>
      </c>
      <c r="L192" s="3"/>
      <c r="M192" s="3"/>
      <c r="N192" s="3" t="b">
        <v>0</v>
      </c>
      <c r="O192" s="3"/>
      <c r="P192" s="3">
        <v>70</v>
      </c>
      <c r="Q192" s="3" t="s">
        <v>1213</v>
      </c>
      <c r="R192" s="3" t="s">
        <v>1181</v>
      </c>
      <c r="S192" s="3" t="s">
        <v>734</v>
      </c>
      <c r="T192" s="3" t="s">
        <v>26</v>
      </c>
      <c r="U192" s="3" t="b">
        <v>0</v>
      </c>
      <c r="V192" s="3">
        <v>0.69999998807907104</v>
      </c>
      <c r="W192" s="3" t="e">
        <f t="shared" si="6"/>
        <v>#VALUE!</v>
      </c>
      <c r="X192" s="3">
        <v>9</v>
      </c>
      <c r="Y192" s="3">
        <v>0.78500002622604403</v>
      </c>
      <c r="Z192" s="3"/>
      <c r="AA192" s="3" t="str">
        <f t="shared" si="8"/>
        <v>Species</v>
      </c>
      <c r="AB192" s="3">
        <v>150</v>
      </c>
      <c r="AC192" s="3">
        <v>60</v>
      </c>
      <c r="AD192" s="3" t="s">
        <v>1208</v>
      </c>
      <c r="AE192" s="3">
        <v>150</v>
      </c>
      <c r="AF192" s="5">
        <v>80</v>
      </c>
      <c r="AG192" s="3" t="s">
        <v>1183</v>
      </c>
      <c r="AH192" s="3" t="s">
        <v>1183</v>
      </c>
      <c r="AI192" s="3" t="s">
        <v>1183</v>
      </c>
      <c r="AJ192" s="3" t="s">
        <v>1183</v>
      </c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6" t="e">
        <v>#NUM!</v>
      </c>
      <c r="BF192" s="6">
        <v>0</v>
      </c>
      <c r="BG192" s="6" t="e">
        <v>#NUM!</v>
      </c>
    </row>
    <row r="193" spans="1:59" ht="15.75" x14ac:dyDescent="0.25">
      <c r="A193" s="3">
        <v>182</v>
      </c>
      <c r="B193" s="3" t="s">
        <v>728</v>
      </c>
      <c r="C193" s="3" t="s">
        <v>95</v>
      </c>
      <c r="D193" s="3" t="s">
        <v>1518</v>
      </c>
      <c r="E193" s="3" t="s">
        <v>716</v>
      </c>
      <c r="F193" s="3" t="s">
        <v>1526</v>
      </c>
      <c r="G193" s="3" t="s">
        <v>729</v>
      </c>
      <c r="H193" s="3" t="s">
        <v>730</v>
      </c>
      <c r="I193" s="3"/>
      <c r="J193" s="4" t="b">
        <v>1</v>
      </c>
      <c r="K193" s="3" t="str">
        <f t="shared" si="7"/>
        <v/>
      </c>
      <c r="L193" s="3"/>
      <c r="M193" s="3"/>
      <c r="N193" s="3" t="b">
        <v>0</v>
      </c>
      <c r="O193" s="3"/>
      <c r="P193" s="3">
        <v>50</v>
      </c>
      <c r="Q193" s="3"/>
      <c r="R193" s="3" t="s">
        <v>1181</v>
      </c>
      <c r="S193" s="3"/>
      <c r="T193" s="3" t="s">
        <v>26</v>
      </c>
      <c r="U193" s="3" t="b">
        <v>0</v>
      </c>
      <c r="V193" s="3">
        <v>0.69999998807907104</v>
      </c>
      <c r="W193" s="3" t="str">
        <f t="shared" si="6"/>
        <v/>
      </c>
      <c r="X193" s="3">
        <v>9</v>
      </c>
      <c r="Y193" s="3">
        <v>0.78500002622604403</v>
      </c>
      <c r="Z193" s="3"/>
      <c r="AA193" s="3" t="str">
        <f t="shared" si="8"/>
        <v>Species</v>
      </c>
      <c r="AB193" s="3" t="s">
        <v>1183</v>
      </c>
      <c r="AC193" s="3" t="s">
        <v>1183</v>
      </c>
      <c r="AD193" s="3" t="s">
        <v>1183</v>
      </c>
      <c r="AE193" s="3" t="s">
        <v>1183</v>
      </c>
      <c r="AF193" s="5" t="s">
        <v>1183</v>
      </c>
      <c r="AG193" s="3" t="s">
        <v>1183</v>
      </c>
      <c r="AH193" s="3" t="s">
        <v>1183</v>
      </c>
      <c r="AI193" s="3" t="s">
        <v>1183</v>
      </c>
      <c r="AJ193" s="3" t="s">
        <v>1183</v>
      </c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6" t="e">
        <v>#NUM!</v>
      </c>
      <c r="BF193" s="6">
        <v>0</v>
      </c>
      <c r="BG193" s="6" t="e">
        <v>#NUM!</v>
      </c>
    </row>
    <row r="194" spans="1:59" ht="15.75" x14ac:dyDescent="0.25">
      <c r="A194" s="3">
        <v>284</v>
      </c>
      <c r="B194" s="3" t="s">
        <v>725</v>
      </c>
      <c r="C194" s="3" t="s">
        <v>95</v>
      </c>
      <c r="D194" s="3" t="s">
        <v>1518</v>
      </c>
      <c r="E194" s="3" t="s">
        <v>716</v>
      </c>
      <c r="F194" s="3" t="s">
        <v>1527</v>
      </c>
      <c r="G194" s="3" t="s">
        <v>726</v>
      </c>
      <c r="H194" s="3" t="s">
        <v>727</v>
      </c>
      <c r="I194" s="3"/>
      <c r="J194" s="4" t="b">
        <v>0</v>
      </c>
      <c r="K194" s="3" t="str">
        <f t="shared" si="7"/>
        <v/>
      </c>
      <c r="L194" s="3"/>
      <c r="M194" s="3"/>
      <c r="N194" s="3" t="b">
        <v>0</v>
      </c>
      <c r="O194" s="3"/>
      <c r="P194" s="3"/>
      <c r="Q194" s="3"/>
      <c r="R194" s="3" t="s">
        <v>1181</v>
      </c>
      <c r="S194" s="3"/>
      <c r="T194" s="3" t="s">
        <v>26</v>
      </c>
      <c r="U194" s="3" t="b">
        <v>0</v>
      </c>
      <c r="V194" s="3"/>
      <c r="W194" s="3" t="str">
        <f t="shared" ref="W194:W257" si="9">IF(OR(H194="",S194=""),"",H194/S194)</f>
        <v/>
      </c>
      <c r="X194" s="3"/>
      <c r="Y194" s="3"/>
      <c r="Z194" s="3"/>
      <c r="AA194" s="3" t="str">
        <f t="shared" si="8"/>
        <v>Species</v>
      </c>
      <c r="AB194" s="3" t="s">
        <v>1183</v>
      </c>
      <c r="AC194" s="3" t="s">
        <v>1183</v>
      </c>
      <c r="AD194" s="3" t="s">
        <v>1183</v>
      </c>
      <c r="AE194" s="3" t="s">
        <v>1183</v>
      </c>
      <c r="AF194" s="5" t="s">
        <v>1183</v>
      </c>
      <c r="AG194" s="3" t="s">
        <v>1183</v>
      </c>
      <c r="AH194" s="3" t="s">
        <v>1183</v>
      </c>
      <c r="AI194" s="3" t="s">
        <v>1183</v>
      </c>
      <c r="AJ194" s="3" t="s">
        <v>1183</v>
      </c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6" t="e">
        <v>#NUM!</v>
      </c>
      <c r="BF194" s="6">
        <v>0</v>
      </c>
      <c r="BG194" s="6" t="e">
        <v>#NUM!</v>
      </c>
    </row>
    <row r="195" spans="1:59" ht="15.75" x14ac:dyDescent="0.25">
      <c r="A195" s="3">
        <v>183</v>
      </c>
      <c r="B195" s="3" t="s">
        <v>744</v>
      </c>
      <c r="C195" s="3" t="s">
        <v>95</v>
      </c>
      <c r="D195" s="3" t="s">
        <v>1518</v>
      </c>
      <c r="E195" s="3" t="s">
        <v>716</v>
      </c>
      <c r="F195" s="3" t="s">
        <v>1528</v>
      </c>
      <c r="G195" s="3" t="s">
        <v>745</v>
      </c>
      <c r="H195" s="3" t="s">
        <v>746</v>
      </c>
      <c r="I195" s="3"/>
      <c r="J195" s="4" t="b">
        <v>1</v>
      </c>
      <c r="K195" s="3">
        <f t="shared" ref="K195:K258" si="10">IF(AF195="","",AF195)</f>
        <v>60</v>
      </c>
      <c r="L195" s="3"/>
      <c r="M195" s="3"/>
      <c r="N195" s="3" t="b">
        <v>1</v>
      </c>
      <c r="O195" s="3"/>
      <c r="P195" s="3">
        <v>59.400001525878899</v>
      </c>
      <c r="Q195" s="3" t="s">
        <v>1424</v>
      </c>
      <c r="R195" s="3" t="s">
        <v>1181</v>
      </c>
      <c r="S195" s="3" t="s">
        <v>248</v>
      </c>
      <c r="T195" s="3" t="s">
        <v>26</v>
      </c>
      <c r="U195" s="3" t="b">
        <v>1</v>
      </c>
      <c r="V195" s="3">
        <v>0.68999999761581399</v>
      </c>
      <c r="W195" s="3" t="e">
        <f t="shared" si="9"/>
        <v>#VALUE!</v>
      </c>
      <c r="X195" s="3">
        <v>9</v>
      </c>
      <c r="Y195" s="3">
        <v>0.769999980926514</v>
      </c>
      <c r="Z195" s="3"/>
      <c r="AA195" s="3" t="str">
        <f t="shared" ref="AA195:AA258" si="11">IF(RIGHT(B195,3)="spp","Genus","Species")</f>
        <v>Species</v>
      </c>
      <c r="AB195" s="3">
        <v>60</v>
      </c>
      <c r="AC195" s="3">
        <v>60</v>
      </c>
      <c r="AD195" s="3" t="s">
        <v>1208</v>
      </c>
      <c r="AE195" s="3">
        <v>60</v>
      </c>
      <c r="AF195" s="5">
        <v>60</v>
      </c>
      <c r="AG195" s="3" t="s">
        <v>1529</v>
      </c>
      <c r="AH195" s="3">
        <v>30</v>
      </c>
      <c r="AI195" s="3">
        <v>60</v>
      </c>
      <c r="AJ195" s="3">
        <v>15</v>
      </c>
      <c r="AK195" s="3">
        <v>20</v>
      </c>
      <c r="AL195" s="3"/>
      <c r="AM195" s="3"/>
      <c r="AN195" s="3"/>
      <c r="AO195" s="3"/>
      <c r="AP195" s="3"/>
      <c r="AQ195" s="3"/>
      <c r="AR195" s="3"/>
      <c r="AS195" s="3">
        <v>60</v>
      </c>
      <c r="AT195" s="3"/>
      <c r="AU195" s="3">
        <v>20</v>
      </c>
      <c r="AV195" s="3"/>
      <c r="AW195" s="3"/>
      <c r="AX195" s="3"/>
      <c r="AY195" s="3"/>
      <c r="AZ195" s="3"/>
      <c r="BA195" s="3"/>
      <c r="BB195" s="3"/>
      <c r="BC195" s="3"/>
      <c r="BD195" s="3"/>
      <c r="BE195" s="6">
        <v>55</v>
      </c>
      <c r="BF195" s="6">
        <v>601</v>
      </c>
      <c r="BG195" s="6">
        <v>136</v>
      </c>
    </row>
    <row r="196" spans="1:59" ht="15.75" x14ac:dyDescent="0.25">
      <c r="A196" s="3">
        <v>184</v>
      </c>
      <c r="B196" s="3" t="s">
        <v>750</v>
      </c>
      <c r="C196" s="3" t="s">
        <v>95</v>
      </c>
      <c r="D196" s="3" t="s">
        <v>1518</v>
      </c>
      <c r="E196" s="3" t="s">
        <v>716</v>
      </c>
      <c r="F196" s="3" t="s">
        <v>1530</v>
      </c>
      <c r="G196" s="3" t="s">
        <v>751</v>
      </c>
      <c r="H196" s="3" t="s">
        <v>752</v>
      </c>
      <c r="I196" s="3"/>
      <c r="J196" s="4" t="b">
        <v>1</v>
      </c>
      <c r="K196" s="3">
        <f t="shared" si="10"/>
        <v>90</v>
      </c>
      <c r="L196" s="3"/>
      <c r="M196" s="3"/>
      <c r="N196" s="3" t="b">
        <v>1</v>
      </c>
      <c r="O196" s="3"/>
      <c r="P196" s="3">
        <v>40.5</v>
      </c>
      <c r="Q196" s="3" t="s">
        <v>1252</v>
      </c>
      <c r="R196" s="3" t="s">
        <v>1181</v>
      </c>
      <c r="S196" s="3" t="s">
        <v>753</v>
      </c>
      <c r="T196" s="3" t="s">
        <v>26</v>
      </c>
      <c r="U196" s="3" t="b">
        <v>0</v>
      </c>
      <c r="V196" s="3">
        <v>0.81000000238418601</v>
      </c>
      <c r="W196" s="3" t="e">
        <f t="shared" si="9"/>
        <v>#VALUE!</v>
      </c>
      <c r="X196" s="3">
        <v>9</v>
      </c>
      <c r="Y196" s="3">
        <v>0.81000000238418601</v>
      </c>
      <c r="Z196" s="3"/>
      <c r="AA196" s="3" t="str">
        <f t="shared" si="11"/>
        <v>Species</v>
      </c>
      <c r="AB196" s="3">
        <v>90</v>
      </c>
      <c r="AC196" s="3" t="s">
        <v>1183</v>
      </c>
      <c r="AD196" s="3" t="s">
        <v>1183</v>
      </c>
      <c r="AE196" s="3">
        <v>90</v>
      </c>
      <c r="AF196" s="5">
        <v>90</v>
      </c>
      <c r="AG196" s="3" t="s">
        <v>1531</v>
      </c>
      <c r="AH196" s="3">
        <v>30</v>
      </c>
      <c r="AI196" s="3">
        <v>90</v>
      </c>
      <c r="AJ196" s="3">
        <v>18</v>
      </c>
      <c r="AK196" s="3">
        <v>25</v>
      </c>
      <c r="AL196" s="3"/>
      <c r="AM196" s="3"/>
      <c r="AN196" s="3"/>
      <c r="AO196" s="3"/>
      <c r="AP196" s="3"/>
      <c r="AQ196" s="3"/>
      <c r="AR196" s="3">
        <v>30</v>
      </c>
      <c r="AS196" s="3">
        <v>90</v>
      </c>
      <c r="AT196" s="3"/>
      <c r="AU196" s="3">
        <v>25</v>
      </c>
      <c r="AV196" s="3"/>
      <c r="AW196" s="3"/>
      <c r="AX196" s="3"/>
      <c r="AY196" s="3"/>
      <c r="AZ196" s="3"/>
      <c r="BA196" s="3"/>
      <c r="BB196" s="3"/>
      <c r="BC196" s="3"/>
      <c r="BD196" s="3"/>
      <c r="BE196" s="6">
        <v>56</v>
      </c>
      <c r="BF196" s="6">
        <v>6092</v>
      </c>
      <c r="BG196" s="6">
        <v>166</v>
      </c>
    </row>
    <row r="197" spans="1:59" ht="15.75" x14ac:dyDescent="0.25">
      <c r="A197" s="3">
        <v>185</v>
      </c>
      <c r="B197" s="3" t="s">
        <v>722</v>
      </c>
      <c r="C197" s="3" t="s">
        <v>95</v>
      </c>
      <c r="D197" s="3" t="s">
        <v>1518</v>
      </c>
      <c r="E197" s="3" t="s">
        <v>716</v>
      </c>
      <c r="F197" s="3" t="s">
        <v>1532</v>
      </c>
      <c r="G197" s="3" t="s">
        <v>723</v>
      </c>
      <c r="H197" s="3" t="s">
        <v>724</v>
      </c>
      <c r="I197" s="3"/>
      <c r="J197" s="4" t="b">
        <v>0</v>
      </c>
      <c r="K197" s="3">
        <f t="shared" si="10"/>
        <v>70</v>
      </c>
      <c r="L197" s="3"/>
      <c r="M197" s="3"/>
      <c r="N197" s="3" t="b">
        <v>0</v>
      </c>
      <c r="O197" s="3"/>
      <c r="P197" s="3">
        <v>60</v>
      </c>
      <c r="Q197" s="3"/>
      <c r="R197" s="3" t="s">
        <v>1181</v>
      </c>
      <c r="S197" s="3" t="s">
        <v>264</v>
      </c>
      <c r="T197" s="3" t="s">
        <v>26</v>
      </c>
      <c r="U197" s="3" t="b">
        <v>0</v>
      </c>
      <c r="V197" s="3">
        <v>0.60000002384185802</v>
      </c>
      <c r="W197" s="3" t="e">
        <f t="shared" si="9"/>
        <v>#VALUE!</v>
      </c>
      <c r="X197" s="3">
        <v>9</v>
      </c>
      <c r="Y197" s="3">
        <v>0.78500002622604403</v>
      </c>
      <c r="Z197" s="3"/>
      <c r="AA197" s="3" t="str">
        <f t="shared" si="11"/>
        <v>Species</v>
      </c>
      <c r="AB197" s="3">
        <v>90</v>
      </c>
      <c r="AC197" s="3" t="s">
        <v>1183</v>
      </c>
      <c r="AD197" s="3" t="s">
        <v>1183</v>
      </c>
      <c r="AE197" s="3">
        <v>90</v>
      </c>
      <c r="AF197" s="5">
        <v>70</v>
      </c>
      <c r="AG197" s="3" t="s">
        <v>1183</v>
      </c>
      <c r="AH197" s="3" t="s">
        <v>1183</v>
      </c>
      <c r="AI197" s="3" t="s">
        <v>1183</v>
      </c>
      <c r="AJ197" s="3" t="s">
        <v>1183</v>
      </c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6">
        <v>14.56</v>
      </c>
      <c r="BF197" s="6">
        <v>89</v>
      </c>
      <c r="BG197" s="6">
        <v>22</v>
      </c>
    </row>
    <row r="198" spans="1:59" ht="15.75" x14ac:dyDescent="0.25">
      <c r="A198" s="3">
        <v>186</v>
      </c>
      <c r="B198" s="3" t="s">
        <v>735</v>
      </c>
      <c r="C198" s="3" t="s">
        <v>95</v>
      </c>
      <c r="D198" s="3" t="s">
        <v>1518</v>
      </c>
      <c r="E198" s="3" t="s">
        <v>716</v>
      </c>
      <c r="F198" s="3" t="s">
        <v>1533</v>
      </c>
      <c r="G198" s="3" t="s">
        <v>736</v>
      </c>
      <c r="H198" s="3" t="s">
        <v>737</v>
      </c>
      <c r="I198" s="3"/>
      <c r="J198" s="4" t="b">
        <v>0</v>
      </c>
      <c r="K198" s="3">
        <f t="shared" si="10"/>
        <v>60</v>
      </c>
      <c r="L198" s="3"/>
      <c r="M198" s="3"/>
      <c r="N198" s="3" t="b">
        <v>0</v>
      </c>
      <c r="O198" s="3"/>
      <c r="P198" s="3">
        <v>40</v>
      </c>
      <c r="Q198" s="3"/>
      <c r="R198" s="3" t="s">
        <v>1181</v>
      </c>
      <c r="S198" s="3" t="s">
        <v>264</v>
      </c>
      <c r="T198" s="3" t="s">
        <v>26</v>
      </c>
      <c r="U198" s="3" t="b">
        <v>0</v>
      </c>
      <c r="V198" s="3">
        <v>0.69999998807907104</v>
      </c>
      <c r="W198" s="3" t="e">
        <f t="shared" si="9"/>
        <v>#VALUE!</v>
      </c>
      <c r="X198" s="3">
        <v>9</v>
      </c>
      <c r="Y198" s="3">
        <v>0.78500002622604403</v>
      </c>
      <c r="Z198" s="3"/>
      <c r="AA198" s="3" t="str">
        <f t="shared" si="11"/>
        <v>Species</v>
      </c>
      <c r="AB198" s="3" t="s">
        <v>1183</v>
      </c>
      <c r="AC198" s="3"/>
      <c r="AD198" s="3"/>
      <c r="AE198" s="3" t="s">
        <v>1183</v>
      </c>
      <c r="AF198" s="5">
        <v>60</v>
      </c>
      <c r="AG198" s="3" t="s">
        <v>1183</v>
      </c>
      <c r="AH198" s="3" t="s">
        <v>1183</v>
      </c>
      <c r="AI198" s="3" t="s">
        <v>1183</v>
      </c>
      <c r="AJ198" s="3" t="s">
        <v>1183</v>
      </c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6">
        <v>10.850000000000001</v>
      </c>
      <c r="BF198" s="6">
        <v>4</v>
      </c>
      <c r="BG198" s="6">
        <v>12.5</v>
      </c>
    </row>
    <row r="199" spans="1:59" ht="15.75" x14ac:dyDescent="0.25">
      <c r="A199" s="3">
        <v>187</v>
      </c>
      <c r="B199" s="3" t="s">
        <v>754</v>
      </c>
      <c r="C199" s="3" t="s">
        <v>95</v>
      </c>
      <c r="D199" s="3" t="s">
        <v>1518</v>
      </c>
      <c r="E199" s="3" t="s">
        <v>716</v>
      </c>
      <c r="F199" s="3" t="s">
        <v>1534</v>
      </c>
      <c r="G199" s="3" t="s">
        <v>755</v>
      </c>
      <c r="H199" s="3" t="s">
        <v>756</v>
      </c>
      <c r="I199" s="3"/>
      <c r="J199" s="4" t="b">
        <v>1</v>
      </c>
      <c r="K199" s="3">
        <f t="shared" si="10"/>
        <v>60</v>
      </c>
      <c r="L199" s="3"/>
      <c r="M199" s="3"/>
      <c r="N199" s="3" t="b">
        <v>0</v>
      </c>
      <c r="O199" s="3"/>
      <c r="P199" s="3">
        <v>50</v>
      </c>
      <c r="Q199" s="3"/>
      <c r="R199" s="3" t="s">
        <v>1181</v>
      </c>
      <c r="S199" s="3" t="s">
        <v>264</v>
      </c>
      <c r="T199" s="3" t="s">
        <v>26</v>
      </c>
      <c r="U199" s="3" t="b">
        <v>0</v>
      </c>
      <c r="V199" s="3">
        <v>0.69999998807907104</v>
      </c>
      <c r="W199" s="3" t="e">
        <f t="shared" si="9"/>
        <v>#VALUE!</v>
      </c>
      <c r="X199" s="3">
        <v>9</v>
      </c>
      <c r="Y199" s="3">
        <v>0.78500002622604403</v>
      </c>
      <c r="Z199" s="3"/>
      <c r="AA199" s="3" t="str">
        <f t="shared" si="11"/>
        <v>Species</v>
      </c>
      <c r="AB199" s="3" t="s">
        <v>1183</v>
      </c>
      <c r="AC199" s="3">
        <v>60</v>
      </c>
      <c r="AD199" s="3" t="s">
        <v>1208</v>
      </c>
      <c r="AE199" s="3" t="s">
        <v>1183</v>
      </c>
      <c r="AF199" s="5">
        <v>60</v>
      </c>
      <c r="AG199" s="3" t="s">
        <v>1183</v>
      </c>
      <c r="AH199" s="3" t="s">
        <v>1183</v>
      </c>
      <c r="AI199" s="3" t="s">
        <v>1183</v>
      </c>
      <c r="AJ199" s="3" t="s">
        <v>1183</v>
      </c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6" t="e">
        <v>#NUM!</v>
      </c>
      <c r="BF199" s="6">
        <v>0</v>
      </c>
      <c r="BG199" s="6" t="e">
        <v>#NUM!</v>
      </c>
    </row>
    <row r="200" spans="1:59" ht="15.75" x14ac:dyDescent="0.25">
      <c r="A200" s="3">
        <v>188</v>
      </c>
      <c r="B200" s="3" t="s">
        <v>757</v>
      </c>
      <c r="C200" s="3" t="s">
        <v>95</v>
      </c>
      <c r="D200" s="3" t="s">
        <v>1518</v>
      </c>
      <c r="E200" s="3" t="s">
        <v>716</v>
      </c>
      <c r="F200" s="3" t="s">
        <v>1535</v>
      </c>
      <c r="G200" s="3" t="s">
        <v>758</v>
      </c>
      <c r="H200" s="3" t="s">
        <v>1536</v>
      </c>
      <c r="I200" s="3"/>
      <c r="J200" s="4" t="s">
        <v>1188</v>
      </c>
      <c r="K200" s="3" t="str">
        <f t="shared" si="10"/>
        <v/>
      </c>
      <c r="L200" s="3"/>
      <c r="M200" s="3"/>
      <c r="N200" s="3" t="b">
        <v>0</v>
      </c>
      <c r="O200" s="3"/>
      <c r="P200" s="3"/>
      <c r="Q200" s="3"/>
      <c r="R200" s="3" t="s">
        <v>1181</v>
      </c>
      <c r="S200" s="3"/>
      <c r="T200" s="3"/>
      <c r="U200" s="3"/>
      <c r="V200" s="3"/>
      <c r="W200" s="3" t="str">
        <f t="shared" si="9"/>
        <v/>
      </c>
      <c r="X200" s="3">
        <v>9</v>
      </c>
      <c r="Y200" s="3">
        <v>0.78500002622604403</v>
      </c>
      <c r="Z200" s="3"/>
      <c r="AA200" s="3" t="str">
        <f t="shared" si="11"/>
        <v>Genus</v>
      </c>
      <c r="AB200" s="3" t="s">
        <v>1183</v>
      </c>
      <c r="AC200" s="3" t="s">
        <v>1183</v>
      </c>
      <c r="AD200" s="3" t="s">
        <v>1183</v>
      </c>
      <c r="AE200" s="3" t="s">
        <v>1183</v>
      </c>
      <c r="AF200" s="5"/>
      <c r="AG200" s="3" t="s">
        <v>1183</v>
      </c>
      <c r="AH200" s="3" t="s">
        <v>1183</v>
      </c>
      <c r="AI200" s="3" t="s">
        <v>1183</v>
      </c>
      <c r="AJ200" s="3" t="s">
        <v>1183</v>
      </c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6">
        <v>40.79999999999999</v>
      </c>
      <c r="BF200" s="6">
        <v>113</v>
      </c>
      <c r="BG200" s="6">
        <v>101</v>
      </c>
    </row>
    <row r="201" spans="1:59" ht="15.75" x14ac:dyDescent="0.25">
      <c r="A201" s="3">
        <v>189</v>
      </c>
      <c r="B201" s="3" t="s">
        <v>719</v>
      </c>
      <c r="C201" s="3" t="s">
        <v>95</v>
      </c>
      <c r="D201" s="3" t="s">
        <v>1518</v>
      </c>
      <c r="E201" s="3" t="s">
        <v>716</v>
      </c>
      <c r="F201" s="3" t="s">
        <v>1537</v>
      </c>
      <c r="G201" s="3" t="s">
        <v>720</v>
      </c>
      <c r="H201" s="3" t="s">
        <v>721</v>
      </c>
      <c r="I201" s="3"/>
      <c r="J201" s="4" t="b">
        <v>1</v>
      </c>
      <c r="K201" s="3">
        <f t="shared" si="10"/>
        <v>90</v>
      </c>
      <c r="L201" s="3"/>
      <c r="M201" s="3"/>
      <c r="N201" s="3" t="b">
        <v>0</v>
      </c>
      <c r="O201" s="3"/>
      <c r="P201" s="3">
        <v>73.5</v>
      </c>
      <c r="Q201" s="3" t="s">
        <v>1213</v>
      </c>
      <c r="R201" s="3" t="s">
        <v>1181</v>
      </c>
      <c r="S201" s="3" t="s">
        <v>264</v>
      </c>
      <c r="T201" s="3" t="s">
        <v>26</v>
      </c>
      <c r="U201" s="3" t="b">
        <v>0</v>
      </c>
      <c r="V201" s="3">
        <v>0.69999998807907104</v>
      </c>
      <c r="W201" s="3" t="e">
        <f t="shared" si="9"/>
        <v>#VALUE!</v>
      </c>
      <c r="X201" s="3">
        <v>9</v>
      </c>
      <c r="Y201" s="3">
        <v>0.78500002622604403</v>
      </c>
      <c r="Z201" s="3"/>
      <c r="AA201" s="3" t="str">
        <f t="shared" si="11"/>
        <v>Species</v>
      </c>
      <c r="AB201" s="3">
        <v>90</v>
      </c>
      <c r="AC201" s="3">
        <v>90</v>
      </c>
      <c r="AD201" s="3" t="s">
        <v>1208</v>
      </c>
      <c r="AE201" s="3">
        <v>90</v>
      </c>
      <c r="AF201" s="5">
        <v>90</v>
      </c>
      <c r="AG201" s="3" t="s">
        <v>1183</v>
      </c>
      <c r="AH201" s="3" t="s">
        <v>1183</v>
      </c>
      <c r="AI201" s="3" t="s">
        <v>1183</v>
      </c>
      <c r="AJ201" s="3" t="s">
        <v>1183</v>
      </c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6">
        <v>26</v>
      </c>
      <c r="BF201" s="6">
        <v>114</v>
      </c>
      <c r="BG201" s="6">
        <v>113.5</v>
      </c>
    </row>
    <row r="202" spans="1:59" ht="15.75" x14ac:dyDescent="0.25">
      <c r="A202" s="3">
        <v>190</v>
      </c>
      <c r="B202" s="3" t="s">
        <v>715</v>
      </c>
      <c r="C202" s="3" t="s">
        <v>95</v>
      </c>
      <c r="D202" s="3" t="s">
        <v>1518</v>
      </c>
      <c r="E202" s="3" t="s">
        <v>716</v>
      </c>
      <c r="F202" s="3" t="s">
        <v>1538</v>
      </c>
      <c r="G202" s="3" t="s">
        <v>717</v>
      </c>
      <c r="H202" s="3" t="s">
        <v>718</v>
      </c>
      <c r="I202" s="3"/>
      <c r="J202" s="4" t="b">
        <v>1</v>
      </c>
      <c r="K202" s="3">
        <f t="shared" si="10"/>
        <v>100</v>
      </c>
      <c r="L202" s="3"/>
      <c r="M202" s="3"/>
      <c r="N202" s="3" t="b">
        <v>1</v>
      </c>
      <c r="O202" s="3"/>
      <c r="P202" s="3">
        <v>93.300003051757798</v>
      </c>
      <c r="Q202" s="3" t="s">
        <v>1388</v>
      </c>
      <c r="R202" s="3" t="s">
        <v>1181</v>
      </c>
      <c r="S202" s="3" t="s">
        <v>248</v>
      </c>
      <c r="T202" s="3" t="s">
        <v>26</v>
      </c>
      <c r="U202" s="3" t="b">
        <v>1</v>
      </c>
      <c r="V202" s="3">
        <v>0.79000002145767201</v>
      </c>
      <c r="W202" s="3" t="e">
        <f t="shared" si="9"/>
        <v>#VALUE!</v>
      </c>
      <c r="X202" s="3">
        <v>9</v>
      </c>
      <c r="Y202" s="3">
        <v>0.75</v>
      </c>
      <c r="Z202" s="3"/>
      <c r="AA202" s="3" t="str">
        <f t="shared" si="11"/>
        <v>Species</v>
      </c>
      <c r="AB202" s="3">
        <v>120</v>
      </c>
      <c r="AC202" s="3">
        <v>100</v>
      </c>
      <c r="AD202" s="3" t="s">
        <v>1208</v>
      </c>
      <c r="AE202" s="3">
        <v>120</v>
      </c>
      <c r="AF202" s="5">
        <v>100</v>
      </c>
      <c r="AG202" s="3" t="s">
        <v>1539</v>
      </c>
      <c r="AH202" s="3">
        <v>60</v>
      </c>
      <c r="AI202" s="3">
        <v>100</v>
      </c>
      <c r="AJ202" s="3">
        <v>15</v>
      </c>
      <c r="AK202" s="3">
        <v>30</v>
      </c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6">
        <v>79.459999084472685</v>
      </c>
      <c r="BF202" s="6">
        <v>507</v>
      </c>
      <c r="BG202" s="6">
        <v>180</v>
      </c>
    </row>
    <row r="203" spans="1:59" ht="15.75" x14ac:dyDescent="0.25">
      <c r="A203" s="3">
        <v>191</v>
      </c>
      <c r="B203" s="3" t="s">
        <v>917</v>
      </c>
      <c r="C203" s="3" t="s">
        <v>918</v>
      </c>
      <c r="D203" s="3" t="s">
        <v>1540</v>
      </c>
      <c r="E203" s="3" t="s">
        <v>919</v>
      </c>
      <c r="F203" s="3" t="s">
        <v>1541</v>
      </c>
      <c r="G203" s="3" t="s">
        <v>919</v>
      </c>
      <c r="H203" s="3" t="s">
        <v>920</v>
      </c>
      <c r="I203" s="3"/>
      <c r="J203" s="4" t="b">
        <v>0</v>
      </c>
      <c r="K203" s="3">
        <f t="shared" si="10"/>
        <v>50</v>
      </c>
      <c r="L203" s="3"/>
      <c r="M203" s="3"/>
      <c r="N203" s="3" t="b">
        <v>1</v>
      </c>
      <c r="O203" s="3"/>
      <c r="P203" s="3">
        <v>40</v>
      </c>
      <c r="Q203" s="3"/>
      <c r="R203" s="3" t="s">
        <v>1181</v>
      </c>
      <c r="S203" s="3" t="s">
        <v>46</v>
      </c>
      <c r="T203" s="3" t="s">
        <v>26</v>
      </c>
      <c r="U203" s="3" t="b">
        <v>0</v>
      </c>
      <c r="V203" s="3">
        <v>0.56000000238418601</v>
      </c>
      <c r="W203" s="3" t="e">
        <f t="shared" si="9"/>
        <v>#VALUE!</v>
      </c>
      <c r="X203" s="3">
        <v>9</v>
      </c>
      <c r="Y203" s="3">
        <v>0.87000000476837203</v>
      </c>
      <c r="Z203" s="3"/>
      <c r="AA203" s="3" t="str">
        <f t="shared" si="11"/>
        <v>Species</v>
      </c>
      <c r="AB203" s="3" t="s">
        <v>1183</v>
      </c>
      <c r="AC203" s="3" t="s">
        <v>1183</v>
      </c>
      <c r="AD203" s="3" t="s">
        <v>1183</v>
      </c>
      <c r="AE203" s="3" t="s">
        <v>1183</v>
      </c>
      <c r="AF203" s="5">
        <v>50</v>
      </c>
      <c r="AG203" s="3" t="s">
        <v>1183</v>
      </c>
      <c r="AH203" s="3" t="s">
        <v>1183</v>
      </c>
      <c r="AI203" s="3" t="s">
        <v>1183</v>
      </c>
      <c r="AJ203" s="3" t="s">
        <v>1183</v>
      </c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6">
        <v>42</v>
      </c>
      <c r="BF203" s="6">
        <v>324</v>
      </c>
      <c r="BG203" s="6">
        <v>74</v>
      </c>
    </row>
    <row r="204" spans="1:59" ht="15.75" x14ac:dyDescent="0.25">
      <c r="A204" s="3">
        <v>192</v>
      </c>
      <c r="B204" s="3" t="s">
        <v>763</v>
      </c>
      <c r="C204" s="3" t="s">
        <v>701</v>
      </c>
      <c r="D204" s="3" t="s">
        <v>1542</v>
      </c>
      <c r="E204" s="3" t="s">
        <v>764</v>
      </c>
      <c r="F204" s="3" t="s">
        <v>1543</v>
      </c>
      <c r="G204" s="3" t="s">
        <v>765</v>
      </c>
      <c r="H204" s="3" t="s">
        <v>766</v>
      </c>
      <c r="I204" s="3"/>
      <c r="J204" s="4" t="b">
        <v>0</v>
      </c>
      <c r="K204" s="3" t="str">
        <f t="shared" si="10"/>
        <v/>
      </c>
      <c r="L204" s="3"/>
      <c r="M204" s="3"/>
      <c r="N204" s="3" t="b">
        <v>0</v>
      </c>
      <c r="O204" s="3"/>
      <c r="P204" s="3">
        <v>40</v>
      </c>
      <c r="Q204" s="3"/>
      <c r="R204" s="3" t="s">
        <v>1181</v>
      </c>
      <c r="S204" s="3" t="s">
        <v>264</v>
      </c>
      <c r="T204" s="3" t="s">
        <v>26</v>
      </c>
      <c r="U204" s="3" t="b">
        <v>0</v>
      </c>
      <c r="V204" s="3">
        <v>0.5</v>
      </c>
      <c r="W204" s="3" t="e">
        <f t="shared" si="9"/>
        <v>#VALUE!</v>
      </c>
      <c r="X204" s="3">
        <v>9</v>
      </c>
      <c r="Y204" s="3">
        <v>0.79000002145767201</v>
      </c>
      <c r="Z204" s="3"/>
      <c r="AA204" s="3" t="str">
        <f t="shared" si="11"/>
        <v>Species</v>
      </c>
      <c r="AB204" s="3" t="s">
        <v>1183</v>
      </c>
      <c r="AC204" s="3" t="s">
        <v>1183</v>
      </c>
      <c r="AD204" s="3" t="s">
        <v>1183</v>
      </c>
      <c r="AE204" s="3" t="s">
        <v>1183</v>
      </c>
      <c r="AF204" s="5" t="s">
        <v>1183</v>
      </c>
      <c r="AG204" s="3" t="s">
        <v>1183</v>
      </c>
      <c r="AH204" s="3" t="s">
        <v>1183</v>
      </c>
      <c r="AI204" s="3" t="s">
        <v>1183</v>
      </c>
      <c r="AJ204" s="3" t="s">
        <v>1183</v>
      </c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6">
        <v>40.999999999999993</v>
      </c>
      <c r="BF204" s="6">
        <v>3</v>
      </c>
      <c r="BG204" s="6">
        <v>50</v>
      </c>
    </row>
    <row r="205" spans="1:59" ht="15.75" x14ac:dyDescent="0.25">
      <c r="A205" s="3">
        <v>308</v>
      </c>
      <c r="B205" s="3" t="s">
        <v>767</v>
      </c>
      <c r="C205" s="3" t="s">
        <v>768</v>
      </c>
      <c r="D205" s="3" t="s">
        <v>1544</v>
      </c>
      <c r="E205" s="3" t="s">
        <v>769</v>
      </c>
      <c r="F205" s="3" t="s">
        <v>1707</v>
      </c>
      <c r="G205" s="3" t="s">
        <v>770</v>
      </c>
      <c r="H205" s="3" t="s">
        <v>771</v>
      </c>
      <c r="I205" s="3"/>
      <c r="J205" s="4" t="b">
        <v>0</v>
      </c>
      <c r="K205" s="3" t="str">
        <f t="shared" si="10"/>
        <v/>
      </c>
      <c r="L205" s="3"/>
      <c r="M205" s="3"/>
      <c r="N205" s="3" t="b">
        <v>0</v>
      </c>
      <c r="O205" s="3"/>
      <c r="P205" s="3"/>
      <c r="Q205" s="3"/>
      <c r="R205" s="3" t="s">
        <v>1181</v>
      </c>
      <c r="S205" s="3"/>
      <c r="T205" s="3" t="s">
        <v>26</v>
      </c>
      <c r="U205" s="3" t="b">
        <v>0</v>
      </c>
      <c r="V205" s="3"/>
      <c r="W205" s="3" t="str">
        <f t="shared" si="9"/>
        <v/>
      </c>
      <c r="X205" s="3"/>
      <c r="Y205" s="3"/>
      <c r="Z205" s="3"/>
      <c r="AA205" s="3" t="str">
        <f t="shared" si="11"/>
        <v>Species</v>
      </c>
      <c r="AB205" s="3"/>
      <c r="AC205" s="3"/>
      <c r="AD205" s="3"/>
      <c r="AE205" s="3"/>
      <c r="AF205" s="5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6" t="e">
        <v>#NUM!</v>
      </c>
      <c r="BF205" s="6">
        <v>0</v>
      </c>
      <c r="BG205" s="6" t="e">
        <v>#NUM!</v>
      </c>
    </row>
    <row r="206" spans="1:59" ht="15.75" x14ac:dyDescent="0.25">
      <c r="A206" s="3">
        <v>193</v>
      </c>
      <c r="B206" s="3" t="s">
        <v>772</v>
      </c>
      <c r="C206" s="3" t="s">
        <v>773</v>
      </c>
      <c r="D206" s="3" t="s">
        <v>1545</v>
      </c>
      <c r="E206" s="3" t="s">
        <v>774</v>
      </c>
      <c r="F206" s="3" t="s">
        <v>1546</v>
      </c>
      <c r="G206" s="3" t="s">
        <v>774</v>
      </c>
      <c r="H206" s="3" t="s">
        <v>775</v>
      </c>
      <c r="I206" s="3"/>
      <c r="J206" s="4" t="b">
        <v>1</v>
      </c>
      <c r="K206" s="3" t="str">
        <f t="shared" si="10"/>
        <v/>
      </c>
      <c r="L206" s="3"/>
      <c r="M206" s="3"/>
      <c r="N206" s="3" t="b">
        <v>0</v>
      </c>
      <c r="O206" s="3"/>
      <c r="P206" s="3">
        <v>20</v>
      </c>
      <c r="Q206" s="3"/>
      <c r="R206" s="3" t="s">
        <v>1181</v>
      </c>
      <c r="S206" s="3"/>
      <c r="T206" s="3" t="s">
        <v>26</v>
      </c>
      <c r="U206" s="3" t="b">
        <v>0</v>
      </c>
      <c r="V206" s="3">
        <v>0.69999998807907104</v>
      </c>
      <c r="W206" s="3" t="str">
        <f t="shared" si="9"/>
        <v/>
      </c>
      <c r="X206" s="3">
        <v>9</v>
      </c>
      <c r="Y206" s="3">
        <v>0.79000002145767201</v>
      </c>
      <c r="Z206" s="3"/>
      <c r="AA206" s="3" t="str">
        <f t="shared" si="11"/>
        <v>Species</v>
      </c>
      <c r="AB206" s="3" t="s">
        <v>1183</v>
      </c>
      <c r="AC206" s="3" t="s">
        <v>1183</v>
      </c>
      <c r="AD206" s="3" t="s">
        <v>1183</v>
      </c>
      <c r="AE206" s="3" t="s">
        <v>1183</v>
      </c>
      <c r="AF206" s="5" t="s">
        <v>1183</v>
      </c>
      <c r="AG206" s="3" t="s">
        <v>1183</v>
      </c>
      <c r="AH206" s="3" t="s">
        <v>1183</v>
      </c>
      <c r="AI206" s="3" t="s">
        <v>1183</v>
      </c>
      <c r="AJ206" s="3" t="s">
        <v>1183</v>
      </c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6">
        <v>5.9</v>
      </c>
      <c r="BF206" s="6">
        <v>1</v>
      </c>
      <c r="BG206" s="6">
        <v>5.9</v>
      </c>
    </row>
    <row r="207" spans="1:59" ht="15.75" x14ac:dyDescent="0.25">
      <c r="A207" s="3">
        <v>281</v>
      </c>
      <c r="B207" s="3" t="s">
        <v>776</v>
      </c>
      <c r="C207" s="3" t="s">
        <v>42</v>
      </c>
      <c r="D207" s="3" t="s">
        <v>1198</v>
      </c>
      <c r="E207" s="3" t="s">
        <v>777</v>
      </c>
      <c r="F207" s="3" t="s">
        <v>1696</v>
      </c>
      <c r="G207" s="3" t="s">
        <v>778</v>
      </c>
      <c r="H207" s="3" t="s">
        <v>779</v>
      </c>
      <c r="I207" s="3"/>
      <c r="J207" s="4" t="b">
        <v>0</v>
      </c>
      <c r="K207" s="3" t="str">
        <f t="shared" si="10"/>
        <v/>
      </c>
      <c r="L207" s="3"/>
      <c r="M207" s="3"/>
      <c r="N207" s="3" t="b">
        <v>0</v>
      </c>
      <c r="O207" s="3"/>
      <c r="P207" s="3"/>
      <c r="Q207" s="3"/>
      <c r="R207" s="3" t="s">
        <v>1181</v>
      </c>
      <c r="S207" s="3"/>
      <c r="T207" s="3" t="s">
        <v>26</v>
      </c>
      <c r="U207" s="3" t="b">
        <v>0</v>
      </c>
      <c r="V207" s="3"/>
      <c r="W207" s="3" t="str">
        <f t="shared" si="9"/>
        <v/>
      </c>
      <c r="X207" s="3"/>
      <c r="Y207" s="3"/>
      <c r="Z207" s="3"/>
      <c r="AA207" s="3" t="str">
        <f t="shared" si="11"/>
        <v>Species</v>
      </c>
      <c r="AB207" s="3" t="s">
        <v>1183</v>
      </c>
      <c r="AC207" s="3" t="s">
        <v>1183</v>
      </c>
      <c r="AD207" s="3" t="s">
        <v>1183</v>
      </c>
      <c r="AE207" s="3" t="s">
        <v>1183</v>
      </c>
      <c r="AF207" s="5" t="s">
        <v>1183</v>
      </c>
      <c r="AG207" s="3" t="s">
        <v>1183</v>
      </c>
      <c r="AH207" s="3" t="s">
        <v>1183</v>
      </c>
      <c r="AI207" s="3" t="s">
        <v>1183</v>
      </c>
      <c r="AJ207" s="3" t="s">
        <v>1183</v>
      </c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6" t="e">
        <v>#NUM!</v>
      </c>
      <c r="BF207" s="6">
        <v>0</v>
      </c>
      <c r="BG207" s="6" t="e">
        <v>#NUM!</v>
      </c>
    </row>
    <row r="208" spans="1:59" ht="15.75" x14ac:dyDescent="0.25">
      <c r="A208" s="3">
        <v>194</v>
      </c>
      <c r="B208" s="3" t="s">
        <v>784</v>
      </c>
      <c r="C208" s="3" t="s">
        <v>42</v>
      </c>
      <c r="D208" s="3" t="s">
        <v>1547</v>
      </c>
      <c r="E208" s="3" t="s">
        <v>781</v>
      </c>
      <c r="F208" s="3" t="s">
        <v>1548</v>
      </c>
      <c r="G208" s="3" t="s">
        <v>785</v>
      </c>
      <c r="H208" s="3" t="s">
        <v>786</v>
      </c>
      <c r="I208" s="3"/>
      <c r="J208" s="4" t="b">
        <v>0</v>
      </c>
      <c r="K208" s="3">
        <f t="shared" si="10"/>
        <v>30</v>
      </c>
      <c r="L208" s="3"/>
      <c r="M208" s="3"/>
      <c r="N208" s="3" t="b">
        <v>1</v>
      </c>
      <c r="O208" s="3"/>
      <c r="P208" s="3">
        <v>40</v>
      </c>
      <c r="Q208" s="3"/>
      <c r="R208" s="3" t="s">
        <v>1181</v>
      </c>
      <c r="S208" s="3"/>
      <c r="T208" s="3" t="s">
        <v>26</v>
      </c>
      <c r="U208" s="3" t="b">
        <v>0</v>
      </c>
      <c r="V208" s="3">
        <v>0.5</v>
      </c>
      <c r="W208" s="3" t="str">
        <f t="shared" si="9"/>
        <v/>
      </c>
      <c r="X208" s="3">
        <v>9</v>
      </c>
      <c r="Y208" s="3">
        <v>0.80000001192092896</v>
      </c>
      <c r="Z208" s="3"/>
      <c r="AA208" s="3" t="str">
        <f t="shared" si="11"/>
        <v>Species</v>
      </c>
      <c r="AB208" s="3" t="s">
        <v>1183</v>
      </c>
      <c r="AC208" s="3">
        <v>30</v>
      </c>
      <c r="AD208" s="3" t="s">
        <v>1549</v>
      </c>
      <c r="AE208" s="3" t="s">
        <v>1183</v>
      </c>
      <c r="AF208" s="5">
        <v>30</v>
      </c>
      <c r="AG208" s="3" t="s">
        <v>1183</v>
      </c>
      <c r="AH208" s="3" t="s">
        <v>1183</v>
      </c>
      <c r="AI208" s="3" t="s">
        <v>1183</v>
      </c>
      <c r="AJ208" s="3" t="s">
        <v>1183</v>
      </c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6">
        <v>31.6</v>
      </c>
      <c r="BF208" s="6">
        <v>271</v>
      </c>
      <c r="BG208" s="6">
        <v>69</v>
      </c>
    </row>
    <row r="209" spans="1:59" ht="15.75" x14ac:dyDescent="0.25">
      <c r="A209" s="3">
        <v>195</v>
      </c>
      <c r="B209" s="3" t="s">
        <v>780</v>
      </c>
      <c r="C209" s="3" t="s">
        <v>42</v>
      </c>
      <c r="D209" s="3" t="s">
        <v>1547</v>
      </c>
      <c r="E209" s="3" t="s">
        <v>781</v>
      </c>
      <c r="F209" s="3" t="s">
        <v>1550</v>
      </c>
      <c r="G209" s="3" t="s">
        <v>782</v>
      </c>
      <c r="H209" s="3" t="s">
        <v>783</v>
      </c>
      <c r="I209" s="3"/>
      <c r="J209" s="4" t="b">
        <v>0</v>
      </c>
      <c r="K209" s="3" t="str">
        <f t="shared" si="10"/>
        <v/>
      </c>
      <c r="L209" s="3"/>
      <c r="M209" s="3"/>
      <c r="N209" s="3" t="b">
        <v>0</v>
      </c>
      <c r="O209" s="3"/>
      <c r="P209" s="3">
        <v>40</v>
      </c>
      <c r="Q209" s="3"/>
      <c r="R209" s="3" t="s">
        <v>1181</v>
      </c>
      <c r="S209" s="3"/>
      <c r="T209" s="3" t="s">
        <v>26</v>
      </c>
      <c r="U209" s="3" t="b">
        <v>0</v>
      </c>
      <c r="V209" s="3">
        <v>0.74000000953674305</v>
      </c>
      <c r="W209" s="3" t="str">
        <f t="shared" si="9"/>
        <v/>
      </c>
      <c r="X209" s="3">
        <v>9</v>
      </c>
      <c r="Y209" s="3">
        <v>0.80000001192092896</v>
      </c>
      <c r="Z209" s="3"/>
      <c r="AA209" s="3" t="str">
        <f t="shared" si="11"/>
        <v>Species</v>
      </c>
      <c r="AB209" s="3" t="s">
        <v>1183</v>
      </c>
      <c r="AC209" s="3" t="s">
        <v>1183</v>
      </c>
      <c r="AD209" s="3" t="s">
        <v>1183</v>
      </c>
      <c r="AE209" s="3" t="s">
        <v>1183</v>
      </c>
      <c r="AF209" s="5" t="s">
        <v>1183</v>
      </c>
      <c r="AG209" s="3" t="s">
        <v>1183</v>
      </c>
      <c r="AH209" s="3" t="s">
        <v>1183</v>
      </c>
      <c r="AI209" s="3" t="s">
        <v>1183</v>
      </c>
      <c r="AJ209" s="3" t="s">
        <v>1183</v>
      </c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6">
        <v>11.62</v>
      </c>
      <c r="BF209" s="6">
        <v>180</v>
      </c>
      <c r="BG209" s="6">
        <v>21</v>
      </c>
    </row>
    <row r="210" spans="1:59" ht="15.75" x14ac:dyDescent="0.25">
      <c r="A210" s="3">
        <v>196</v>
      </c>
      <c r="B210" s="3" t="s">
        <v>790</v>
      </c>
      <c r="C210" s="3" t="s">
        <v>42</v>
      </c>
      <c r="D210" s="3" t="s">
        <v>1547</v>
      </c>
      <c r="E210" s="3" t="s">
        <v>781</v>
      </c>
      <c r="F210" s="3" t="s">
        <v>1551</v>
      </c>
      <c r="G210" s="3" t="s">
        <v>791</v>
      </c>
      <c r="H210" s="3" t="s">
        <v>792</v>
      </c>
      <c r="I210" s="3"/>
      <c r="J210" s="4" t="b">
        <v>0</v>
      </c>
      <c r="K210" s="3" t="str">
        <f t="shared" si="10"/>
        <v/>
      </c>
      <c r="L210" s="3"/>
      <c r="M210" s="3"/>
      <c r="N210" s="3" t="b">
        <v>0</v>
      </c>
      <c r="O210" s="3"/>
      <c r="P210" s="3">
        <v>40</v>
      </c>
      <c r="Q210" s="3"/>
      <c r="R210" s="3" t="s">
        <v>1181</v>
      </c>
      <c r="S210" s="3" t="s">
        <v>793</v>
      </c>
      <c r="T210" s="3" t="s">
        <v>26</v>
      </c>
      <c r="U210" s="3" t="b">
        <v>0</v>
      </c>
      <c r="V210" s="3">
        <v>0.5</v>
      </c>
      <c r="W210" s="3" t="e">
        <f t="shared" si="9"/>
        <v>#VALUE!</v>
      </c>
      <c r="X210" s="3">
        <v>9</v>
      </c>
      <c r="Y210" s="3">
        <v>0.80000001192092896</v>
      </c>
      <c r="Z210" s="3"/>
      <c r="AA210" s="3" t="str">
        <f t="shared" si="11"/>
        <v>Species</v>
      </c>
      <c r="AB210" s="3" t="s">
        <v>1183</v>
      </c>
      <c r="AC210" s="3" t="s">
        <v>1183</v>
      </c>
      <c r="AD210" s="3" t="s">
        <v>1183</v>
      </c>
      <c r="AE210" s="3" t="s">
        <v>1183</v>
      </c>
      <c r="AF210" s="5" t="s">
        <v>1183</v>
      </c>
      <c r="AG210" s="3" t="s">
        <v>1183</v>
      </c>
      <c r="AH210" s="3" t="s">
        <v>1183</v>
      </c>
      <c r="AI210" s="3" t="s">
        <v>1183</v>
      </c>
      <c r="AJ210" s="3" t="s">
        <v>1183</v>
      </c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6" t="e">
        <v>#NUM!</v>
      </c>
      <c r="BF210" s="6">
        <v>0</v>
      </c>
      <c r="BG210" s="6" t="e">
        <v>#NUM!</v>
      </c>
    </row>
    <row r="211" spans="1:59" ht="15.75" x14ac:dyDescent="0.25">
      <c r="A211" s="3">
        <v>197</v>
      </c>
      <c r="B211" s="3" t="s">
        <v>787</v>
      </c>
      <c r="C211" s="3" t="s">
        <v>42</v>
      </c>
      <c r="D211" s="3" t="s">
        <v>1547</v>
      </c>
      <c r="E211" s="3" t="s">
        <v>781</v>
      </c>
      <c r="F211" s="3" t="s">
        <v>1552</v>
      </c>
      <c r="G211" s="3" t="s">
        <v>788</v>
      </c>
      <c r="H211" s="3" t="s">
        <v>1553</v>
      </c>
      <c r="I211" s="3"/>
      <c r="J211" s="4" t="s">
        <v>1188</v>
      </c>
      <c r="K211" s="3">
        <f t="shared" si="10"/>
        <v>30</v>
      </c>
      <c r="L211" s="3"/>
      <c r="M211" s="3"/>
      <c r="N211" s="3" t="b">
        <v>0</v>
      </c>
      <c r="O211" s="3"/>
      <c r="P211" s="3">
        <v>40</v>
      </c>
      <c r="Q211" s="3"/>
      <c r="R211" s="3" t="s">
        <v>1181</v>
      </c>
      <c r="S211" s="3"/>
      <c r="T211" s="3" t="s">
        <v>26</v>
      </c>
      <c r="U211" s="3" t="b">
        <v>0</v>
      </c>
      <c r="V211" s="3">
        <v>0.5</v>
      </c>
      <c r="W211" s="3" t="str">
        <f t="shared" si="9"/>
        <v/>
      </c>
      <c r="X211" s="3">
        <v>9</v>
      </c>
      <c r="Y211" s="3">
        <v>0.80000001192092896</v>
      </c>
      <c r="Z211" s="3"/>
      <c r="AA211" s="3" t="str">
        <f t="shared" si="11"/>
        <v>Species</v>
      </c>
      <c r="AB211" s="3" t="s">
        <v>1183</v>
      </c>
      <c r="AC211" s="3" t="s">
        <v>1183</v>
      </c>
      <c r="AD211" s="3" t="s">
        <v>1183</v>
      </c>
      <c r="AE211" s="3" t="s">
        <v>1183</v>
      </c>
      <c r="AF211" s="5">
        <v>30</v>
      </c>
      <c r="AG211" s="3" t="s">
        <v>1183</v>
      </c>
      <c r="AH211" s="3" t="s">
        <v>1183</v>
      </c>
      <c r="AI211" s="3" t="s">
        <v>1183</v>
      </c>
      <c r="AJ211" s="3" t="s">
        <v>1183</v>
      </c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6">
        <v>31</v>
      </c>
      <c r="BF211" s="6">
        <v>102</v>
      </c>
      <c r="BG211" s="6">
        <v>54</v>
      </c>
    </row>
    <row r="212" spans="1:59" ht="15.75" x14ac:dyDescent="0.25">
      <c r="A212" s="3">
        <v>198</v>
      </c>
      <c r="B212" s="3" t="s">
        <v>794</v>
      </c>
      <c r="C212" s="3" t="s">
        <v>141</v>
      </c>
      <c r="D212" s="3" t="s">
        <v>1554</v>
      </c>
      <c r="E212" s="3" t="s">
        <v>795</v>
      </c>
      <c r="F212" s="3" t="s">
        <v>1555</v>
      </c>
      <c r="G212" s="3" t="s">
        <v>796</v>
      </c>
      <c r="H212" s="3" t="s">
        <v>797</v>
      </c>
      <c r="I212" s="3"/>
      <c r="J212" s="4" t="b">
        <v>0</v>
      </c>
      <c r="K212" s="3">
        <f t="shared" si="10"/>
        <v>30</v>
      </c>
      <c r="L212" s="3"/>
      <c r="M212" s="3"/>
      <c r="N212" s="3" t="b">
        <v>0</v>
      </c>
      <c r="O212" s="3"/>
      <c r="P212" s="3">
        <v>40</v>
      </c>
      <c r="Q212" s="3"/>
      <c r="R212" s="3" t="s">
        <v>1181</v>
      </c>
      <c r="S212" s="3" t="s">
        <v>798</v>
      </c>
      <c r="T212" s="3" t="s">
        <v>26</v>
      </c>
      <c r="U212" s="3" t="b">
        <v>0</v>
      </c>
      <c r="V212" s="3">
        <v>0.60000002384185802</v>
      </c>
      <c r="W212" s="3" t="e">
        <f t="shared" si="9"/>
        <v>#VALUE!</v>
      </c>
      <c r="X212" s="3">
        <v>9</v>
      </c>
      <c r="Y212" s="3">
        <v>0.79000002145767201</v>
      </c>
      <c r="Z212" s="3"/>
      <c r="AA212" s="3" t="str">
        <f t="shared" si="11"/>
        <v>Species</v>
      </c>
      <c r="AB212" s="3" t="s">
        <v>1183</v>
      </c>
      <c r="AC212" s="3" t="s">
        <v>1183</v>
      </c>
      <c r="AD212" s="3" t="s">
        <v>1183</v>
      </c>
      <c r="AE212" s="3" t="s">
        <v>1183</v>
      </c>
      <c r="AF212" s="5">
        <v>30</v>
      </c>
      <c r="AG212" s="3" t="s">
        <v>1183</v>
      </c>
      <c r="AH212" s="3" t="s">
        <v>1183</v>
      </c>
      <c r="AI212" s="3" t="s">
        <v>1183</v>
      </c>
      <c r="AJ212" s="3" t="s">
        <v>1183</v>
      </c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6">
        <v>26</v>
      </c>
      <c r="BF212" s="6">
        <v>129</v>
      </c>
      <c r="BG212" s="6">
        <v>39</v>
      </c>
    </row>
    <row r="213" spans="1:59" ht="15.75" x14ac:dyDescent="0.25">
      <c r="A213" s="3">
        <v>199</v>
      </c>
      <c r="B213" s="3" t="s">
        <v>799</v>
      </c>
      <c r="C213" s="3" t="s">
        <v>800</v>
      </c>
      <c r="D213" s="3" t="s">
        <v>1556</v>
      </c>
      <c r="E213" s="3" t="s">
        <v>801</v>
      </c>
      <c r="F213" s="3" t="s">
        <v>1557</v>
      </c>
      <c r="G213" s="3" t="s">
        <v>801</v>
      </c>
      <c r="H213" s="3" t="s">
        <v>802</v>
      </c>
      <c r="I213" s="3"/>
      <c r="J213" s="4" t="b">
        <v>0</v>
      </c>
      <c r="K213" s="3" t="str">
        <f t="shared" si="10"/>
        <v/>
      </c>
      <c r="L213" s="3"/>
      <c r="M213" s="3"/>
      <c r="N213" s="3" t="b">
        <v>0</v>
      </c>
      <c r="O213" s="3"/>
      <c r="P213" s="3">
        <v>40</v>
      </c>
      <c r="Q213" s="3"/>
      <c r="R213" s="3" t="s">
        <v>1181</v>
      </c>
      <c r="S213" s="3" t="s">
        <v>264</v>
      </c>
      <c r="T213" s="3" t="s">
        <v>26</v>
      </c>
      <c r="U213" s="3" t="b">
        <v>0</v>
      </c>
      <c r="V213" s="3">
        <v>0.69999998807907104</v>
      </c>
      <c r="W213" s="3" t="e">
        <f t="shared" si="9"/>
        <v>#VALUE!</v>
      </c>
      <c r="X213" s="3">
        <v>9</v>
      </c>
      <c r="Y213" s="3">
        <v>0.79000002145767201</v>
      </c>
      <c r="Z213" s="3"/>
      <c r="AA213" s="3" t="str">
        <f t="shared" si="11"/>
        <v>Species</v>
      </c>
      <c r="AB213" s="3" t="s">
        <v>1183</v>
      </c>
      <c r="AC213" s="3" t="s">
        <v>1183</v>
      </c>
      <c r="AD213" s="3" t="s">
        <v>1183</v>
      </c>
      <c r="AE213" s="3" t="s">
        <v>1183</v>
      </c>
      <c r="AF213" s="5" t="s">
        <v>1183</v>
      </c>
      <c r="AG213" s="3" t="s">
        <v>1183</v>
      </c>
      <c r="AH213" s="3" t="s">
        <v>1183</v>
      </c>
      <c r="AI213" s="3" t="s">
        <v>1183</v>
      </c>
      <c r="AJ213" s="3" t="s">
        <v>1183</v>
      </c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6" t="e">
        <v>#NUM!</v>
      </c>
      <c r="BF213" s="6">
        <v>0</v>
      </c>
      <c r="BG213" s="6" t="e">
        <v>#NUM!</v>
      </c>
    </row>
    <row r="214" spans="1:59" ht="15.75" x14ac:dyDescent="0.25">
      <c r="A214" s="3">
        <v>200</v>
      </c>
      <c r="B214" s="3" t="s">
        <v>823</v>
      </c>
      <c r="C214" s="3" t="s">
        <v>321</v>
      </c>
      <c r="D214" s="3" t="s">
        <v>1558</v>
      </c>
      <c r="E214" s="3" t="s">
        <v>808</v>
      </c>
      <c r="F214" s="3" t="s">
        <v>1559</v>
      </c>
      <c r="G214" s="3" t="s">
        <v>824</v>
      </c>
      <c r="H214" s="3" t="s">
        <v>825</v>
      </c>
      <c r="I214" s="3"/>
      <c r="J214" s="4" t="b">
        <v>0</v>
      </c>
      <c r="K214" s="3">
        <v>50</v>
      </c>
      <c r="L214" s="3"/>
      <c r="M214" s="3"/>
      <c r="N214" s="3" t="b">
        <v>1</v>
      </c>
      <c r="O214" s="3"/>
      <c r="P214" s="3">
        <v>40.200000762939503</v>
      </c>
      <c r="Q214" s="3"/>
      <c r="R214" s="3" t="s">
        <v>1276</v>
      </c>
      <c r="S214" s="3" t="s">
        <v>399</v>
      </c>
      <c r="T214" s="3" t="s">
        <v>26</v>
      </c>
      <c r="U214" s="3" t="b">
        <v>0</v>
      </c>
      <c r="V214" s="3">
        <v>0.62999999523162797</v>
      </c>
      <c r="W214" s="3" t="e">
        <f t="shared" si="9"/>
        <v>#VALUE!</v>
      </c>
      <c r="X214" s="3">
        <v>9</v>
      </c>
      <c r="Y214" s="3">
        <v>0.79000002145767201</v>
      </c>
      <c r="Z214" s="3"/>
      <c r="AA214" s="3" t="str">
        <f t="shared" si="11"/>
        <v>Species</v>
      </c>
      <c r="AB214" s="3">
        <v>30</v>
      </c>
      <c r="AC214" s="3">
        <v>150</v>
      </c>
      <c r="AD214" s="3" t="s">
        <v>1208</v>
      </c>
      <c r="AE214" s="3">
        <v>30</v>
      </c>
      <c r="AF214" s="5">
        <v>50</v>
      </c>
      <c r="AG214" s="3" t="s">
        <v>1183</v>
      </c>
      <c r="AH214" s="3" t="s">
        <v>1183</v>
      </c>
      <c r="AI214" s="3" t="s">
        <v>1183</v>
      </c>
      <c r="AJ214" s="3" t="s">
        <v>1183</v>
      </c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6">
        <v>43.299999237060497</v>
      </c>
      <c r="BF214" s="6">
        <v>4835</v>
      </c>
      <c r="BG214" s="6">
        <v>138.39999389648401</v>
      </c>
    </row>
    <row r="215" spans="1:59" ht="15.75" x14ac:dyDescent="0.25">
      <c r="A215" s="3">
        <v>201</v>
      </c>
      <c r="B215" s="3" t="s">
        <v>807</v>
      </c>
      <c r="C215" s="3" t="s">
        <v>321</v>
      </c>
      <c r="D215" s="3" t="s">
        <v>1558</v>
      </c>
      <c r="E215" s="3" t="s">
        <v>808</v>
      </c>
      <c r="F215" s="3" t="s">
        <v>1560</v>
      </c>
      <c r="G215" s="3" t="s">
        <v>809</v>
      </c>
      <c r="H215" s="3" t="s">
        <v>810</v>
      </c>
      <c r="I215" s="3"/>
      <c r="J215" s="4" t="b">
        <v>0</v>
      </c>
      <c r="K215" s="3" t="str">
        <f t="shared" si="10"/>
        <v/>
      </c>
      <c r="L215" s="3"/>
      <c r="M215" s="3"/>
      <c r="N215" s="3" t="b">
        <v>0</v>
      </c>
      <c r="O215" s="3"/>
      <c r="P215" s="3">
        <v>40</v>
      </c>
      <c r="Q215" s="3" t="s">
        <v>1561</v>
      </c>
      <c r="R215" s="3" t="s">
        <v>1276</v>
      </c>
      <c r="S215" s="3" t="s">
        <v>811</v>
      </c>
      <c r="T215" s="3" t="s">
        <v>26</v>
      </c>
      <c r="U215" s="3" t="b">
        <v>0</v>
      </c>
      <c r="V215" s="3">
        <v>0.60000002384185802</v>
      </c>
      <c r="W215" s="3" t="e">
        <f t="shared" si="9"/>
        <v>#VALUE!</v>
      </c>
      <c r="X215" s="3">
        <v>9</v>
      </c>
      <c r="Y215" s="3">
        <v>0.79000002145767201</v>
      </c>
      <c r="Z215" s="3"/>
      <c r="AA215" s="3" t="str">
        <f t="shared" si="11"/>
        <v>Species</v>
      </c>
      <c r="AB215" s="3" t="s">
        <v>1183</v>
      </c>
      <c r="AC215" s="3" t="s">
        <v>1183</v>
      </c>
      <c r="AD215" s="3" t="s">
        <v>1183</v>
      </c>
      <c r="AE215" s="3" t="s">
        <v>1183</v>
      </c>
      <c r="AF215" s="5" t="s">
        <v>1183</v>
      </c>
      <c r="AG215" s="3" t="s">
        <v>1183</v>
      </c>
      <c r="AH215" s="3" t="s">
        <v>1183</v>
      </c>
      <c r="AI215" s="3" t="s">
        <v>1183</v>
      </c>
      <c r="AJ215" s="3" t="s">
        <v>1183</v>
      </c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6">
        <v>7</v>
      </c>
      <c r="BF215" s="6">
        <v>1</v>
      </c>
      <c r="BG215" s="6">
        <v>7</v>
      </c>
    </row>
    <row r="216" spans="1:59" ht="15.75" x14ac:dyDescent="0.25">
      <c r="A216" s="3">
        <v>305</v>
      </c>
      <c r="B216" s="3" t="s">
        <v>851</v>
      </c>
      <c r="C216" s="3" t="s">
        <v>321</v>
      </c>
      <c r="D216" s="3" t="s">
        <v>1558</v>
      </c>
      <c r="E216" s="3" t="s">
        <v>808</v>
      </c>
      <c r="F216" s="3" t="s">
        <v>1705</v>
      </c>
      <c r="G216" s="3" t="s">
        <v>852</v>
      </c>
      <c r="H216" s="3" t="s">
        <v>853</v>
      </c>
      <c r="I216" s="3"/>
      <c r="J216" s="4" t="b">
        <v>0</v>
      </c>
      <c r="K216" s="3" t="str">
        <f t="shared" si="10"/>
        <v/>
      </c>
      <c r="L216" s="3"/>
      <c r="M216" s="3"/>
      <c r="N216" s="3" t="b">
        <v>0</v>
      </c>
      <c r="O216" s="3"/>
      <c r="P216" s="3"/>
      <c r="Q216" s="3"/>
      <c r="R216" s="3" t="s">
        <v>1276</v>
      </c>
      <c r="S216" s="3"/>
      <c r="T216" s="3" t="s">
        <v>26</v>
      </c>
      <c r="U216" s="3" t="b">
        <v>0</v>
      </c>
      <c r="V216" s="3"/>
      <c r="W216" s="3" t="str">
        <f t="shared" si="9"/>
        <v/>
      </c>
      <c r="X216" s="3"/>
      <c r="Y216" s="3"/>
      <c r="Z216" s="3"/>
      <c r="AA216" s="3" t="str">
        <f t="shared" si="11"/>
        <v>Species</v>
      </c>
      <c r="AB216" s="3"/>
      <c r="AC216" s="3"/>
      <c r="AD216" s="3"/>
      <c r="AE216" s="3"/>
      <c r="AF216" s="5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6" t="e">
        <v>#NUM!</v>
      </c>
      <c r="BF216" s="6">
        <v>0</v>
      </c>
      <c r="BG216" s="6" t="e">
        <v>#NUM!</v>
      </c>
    </row>
    <row r="217" spans="1:59" ht="15.75" x14ac:dyDescent="0.25">
      <c r="A217" s="3">
        <v>202</v>
      </c>
      <c r="B217" s="3" t="s">
        <v>812</v>
      </c>
      <c r="C217" s="3" t="s">
        <v>321</v>
      </c>
      <c r="D217" s="3" t="s">
        <v>1558</v>
      </c>
      <c r="E217" s="3" t="s">
        <v>808</v>
      </c>
      <c r="F217" s="3" t="s">
        <v>1562</v>
      </c>
      <c r="G217" s="3" t="s">
        <v>813</v>
      </c>
      <c r="H217" s="3" t="s">
        <v>814</v>
      </c>
      <c r="I217" s="3"/>
      <c r="J217" s="4" t="b">
        <v>1</v>
      </c>
      <c r="K217" s="3">
        <f t="shared" si="10"/>
        <v>30</v>
      </c>
      <c r="L217" s="3"/>
      <c r="M217" s="3"/>
      <c r="N217" s="3" t="b">
        <v>1</v>
      </c>
      <c r="O217" s="3"/>
      <c r="P217" s="3">
        <v>31.799999237060501</v>
      </c>
      <c r="Q217" s="3" t="s">
        <v>1252</v>
      </c>
      <c r="R217" s="3" t="s">
        <v>1276</v>
      </c>
      <c r="S217" s="3" t="s">
        <v>815</v>
      </c>
      <c r="T217" s="3" t="s">
        <v>26</v>
      </c>
      <c r="U217" s="3" t="b">
        <v>0</v>
      </c>
      <c r="V217" s="3">
        <v>0.52999997138977095</v>
      </c>
      <c r="W217" s="3" t="e">
        <f t="shared" si="9"/>
        <v>#VALUE!</v>
      </c>
      <c r="X217" s="3">
        <v>9</v>
      </c>
      <c r="Y217" s="3">
        <v>0.79000002145767201</v>
      </c>
      <c r="Z217" s="3"/>
      <c r="AA217" s="3" t="str">
        <f t="shared" si="11"/>
        <v>Species</v>
      </c>
      <c r="AB217" s="3">
        <v>30</v>
      </c>
      <c r="AC217" s="3" t="s">
        <v>1183</v>
      </c>
      <c r="AD217" s="3" t="s">
        <v>1183</v>
      </c>
      <c r="AE217" s="3">
        <v>30</v>
      </c>
      <c r="AF217" s="5">
        <v>30</v>
      </c>
      <c r="AG217" s="3" t="s">
        <v>1183</v>
      </c>
      <c r="AH217" s="3" t="s">
        <v>1183</v>
      </c>
      <c r="AI217" s="3" t="s">
        <v>1183</v>
      </c>
      <c r="AJ217" s="3" t="s">
        <v>1183</v>
      </c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6">
        <v>36</v>
      </c>
      <c r="BF217" s="6">
        <v>374</v>
      </c>
      <c r="BG217" s="6">
        <v>63</v>
      </c>
    </row>
    <row r="218" spans="1:59" ht="15.75" x14ac:dyDescent="0.25">
      <c r="A218" s="3">
        <v>306</v>
      </c>
      <c r="B218" s="3" t="s">
        <v>848</v>
      </c>
      <c r="C218" s="3" t="s">
        <v>321</v>
      </c>
      <c r="D218" s="3" t="s">
        <v>1558</v>
      </c>
      <c r="E218" s="3" t="s">
        <v>808</v>
      </c>
      <c r="F218" s="3" t="s">
        <v>1706</v>
      </c>
      <c r="G218" s="3" t="s">
        <v>849</v>
      </c>
      <c r="H218" s="3" t="s">
        <v>850</v>
      </c>
      <c r="I218" s="3"/>
      <c r="J218" s="4" t="b">
        <v>0</v>
      </c>
      <c r="K218" s="3" t="str">
        <f t="shared" si="10"/>
        <v/>
      </c>
      <c r="L218" s="3"/>
      <c r="M218" s="3"/>
      <c r="N218" s="3" t="b">
        <v>0</v>
      </c>
      <c r="O218" s="3"/>
      <c r="P218" s="3"/>
      <c r="Q218" s="3"/>
      <c r="R218" s="3" t="s">
        <v>1276</v>
      </c>
      <c r="S218" s="3"/>
      <c r="T218" s="3" t="s">
        <v>26</v>
      </c>
      <c r="U218" s="3" t="b">
        <v>0</v>
      </c>
      <c r="V218" s="3"/>
      <c r="W218" s="3" t="str">
        <f t="shared" si="9"/>
        <v/>
      </c>
      <c r="X218" s="3"/>
      <c r="Y218" s="3"/>
      <c r="Z218" s="3"/>
      <c r="AA218" s="3" t="str">
        <f t="shared" si="11"/>
        <v>Species</v>
      </c>
      <c r="AB218" s="3"/>
      <c r="AC218" s="3"/>
      <c r="AD218" s="3"/>
      <c r="AE218" s="3"/>
      <c r="AF218" s="5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6" t="e">
        <v>#NUM!</v>
      </c>
      <c r="BF218" s="6">
        <v>0</v>
      </c>
      <c r="BG218" s="6" t="e">
        <v>#NUM!</v>
      </c>
    </row>
    <row r="219" spans="1:59" ht="15.75" x14ac:dyDescent="0.25">
      <c r="A219" s="3">
        <v>203</v>
      </c>
      <c r="B219" s="3" t="s">
        <v>820</v>
      </c>
      <c r="C219" s="3" t="s">
        <v>321</v>
      </c>
      <c r="D219" s="3" t="s">
        <v>1558</v>
      </c>
      <c r="E219" s="3" t="s">
        <v>808</v>
      </c>
      <c r="F219" s="3" t="s">
        <v>1563</v>
      </c>
      <c r="G219" s="3" t="s">
        <v>821</v>
      </c>
      <c r="H219" s="3" t="s">
        <v>822</v>
      </c>
      <c r="I219" s="3"/>
      <c r="J219" s="4" t="b">
        <v>0</v>
      </c>
      <c r="K219" s="3">
        <f t="shared" si="10"/>
        <v>15</v>
      </c>
      <c r="L219" s="3"/>
      <c r="M219" s="3"/>
      <c r="N219" s="3" t="b">
        <v>0</v>
      </c>
      <c r="O219" s="3"/>
      <c r="P219" s="3">
        <v>40</v>
      </c>
      <c r="Q219" s="3"/>
      <c r="R219" s="3" t="s">
        <v>1276</v>
      </c>
      <c r="S219" s="3" t="s">
        <v>65</v>
      </c>
      <c r="T219" s="3" t="s">
        <v>26</v>
      </c>
      <c r="U219" s="3" t="b">
        <v>0</v>
      </c>
      <c r="V219" s="3">
        <v>0.60000002384185802</v>
      </c>
      <c r="W219" s="3" t="e">
        <f t="shared" si="9"/>
        <v>#VALUE!</v>
      </c>
      <c r="X219" s="3">
        <v>9</v>
      </c>
      <c r="Y219" s="3">
        <v>0.79000002145767201</v>
      </c>
      <c r="Z219" s="3"/>
      <c r="AA219" s="3" t="str">
        <f t="shared" si="11"/>
        <v>Species</v>
      </c>
      <c r="AB219" s="3" t="s">
        <v>1183</v>
      </c>
      <c r="AC219" s="3" t="s">
        <v>1183</v>
      </c>
      <c r="AD219" s="3" t="s">
        <v>1183</v>
      </c>
      <c r="AE219" s="3" t="s">
        <v>1183</v>
      </c>
      <c r="AF219" s="5">
        <v>15</v>
      </c>
      <c r="AG219" s="3" t="s">
        <v>1183</v>
      </c>
      <c r="AH219" s="3" t="s">
        <v>1183</v>
      </c>
      <c r="AI219" s="3" t="s">
        <v>1183</v>
      </c>
      <c r="AJ219" s="3" t="s">
        <v>1183</v>
      </c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6">
        <v>12.899999999999999</v>
      </c>
      <c r="BF219" s="6">
        <v>62</v>
      </c>
      <c r="BG219" s="6">
        <v>58</v>
      </c>
    </row>
    <row r="220" spans="1:59" ht="15.75" x14ac:dyDescent="0.25">
      <c r="A220" s="3">
        <v>204</v>
      </c>
      <c r="B220" s="3" t="s">
        <v>833</v>
      </c>
      <c r="C220" s="3" t="s">
        <v>321</v>
      </c>
      <c r="D220" s="3" t="s">
        <v>1558</v>
      </c>
      <c r="E220" s="3" t="s">
        <v>808</v>
      </c>
      <c r="F220" s="3" t="s">
        <v>1564</v>
      </c>
      <c r="G220" s="3" t="s">
        <v>834</v>
      </c>
      <c r="H220" s="3" t="s">
        <v>835</v>
      </c>
      <c r="I220" s="3"/>
      <c r="J220" s="4" t="b">
        <v>1</v>
      </c>
      <c r="K220" s="3">
        <f t="shared" si="10"/>
        <v>30</v>
      </c>
      <c r="L220" s="3"/>
      <c r="M220" s="3"/>
      <c r="N220" s="3" t="b">
        <v>0</v>
      </c>
      <c r="O220" s="3"/>
      <c r="P220" s="3">
        <v>25.799999237060501</v>
      </c>
      <c r="Q220" s="3" t="s">
        <v>1213</v>
      </c>
      <c r="R220" s="3" t="s">
        <v>1276</v>
      </c>
      <c r="S220" s="3" t="s">
        <v>836</v>
      </c>
      <c r="T220" s="3" t="s">
        <v>26</v>
      </c>
      <c r="U220" s="3" t="b">
        <v>0</v>
      </c>
      <c r="V220" s="3">
        <v>0.60000002384185802</v>
      </c>
      <c r="W220" s="3" t="e">
        <f t="shared" si="9"/>
        <v>#VALUE!</v>
      </c>
      <c r="X220" s="3">
        <v>9</v>
      </c>
      <c r="Y220" s="3">
        <v>0.79000002145767201</v>
      </c>
      <c r="Z220" s="3"/>
      <c r="AA220" s="3" t="str">
        <f t="shared" si="11"/>
        <v>Species</v>
      </c>
      <c r="AB220" s="3">
        <v>30</v>
      </c>
      <c r="AC220" s="3" t="s">
        <v>1183</v>
      </c>
      <c r="AD220" s="3" t="s">
        <v>1183</v>
      </c>
      <c r="AE220" s="3">
        <v>30</v>
      </c>
      <c r="AF220" s="5">
        <v>30</v>
      </c>
      <c r="AG220" s="3" t="s">
        <v>1183</v>
      </c>
      <c r="AH220" s="3" t="s">
        <v>1183</v>
      </c>
      <c r="AI220" s="3" t="s">
        <v>1183</v>
      </c>
      <c r="AJ220" s="3" t="s">
        <v>1183</v>
      </c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6">
        <v>34.299999999999997</v>
      </c>
      <c r="BF220" s="6">
        <v>2</v>
      </c>
      <c r="BG220" s="6">
        <v>37</v>
      </c>
    </row>
    <row r="221" spans="1:59" ht="15.75" x14ac:dyDescent="0.25">
      <c r="A221" s="3">
        <v>205</v>
      </c>
      <c r="B221" s="3" t="s">
        <v>826</v>
      </c>
      <c r="C221" s="3" t="s">
        <v>321</v>
      </c>
      <c r="D221" s="3" t="s">
        <v>1558</v>
      </c>
      <c r="E221" s="3" t="s">
        <v>808</v>
      </c>
      <c r="F221" s="3" t="s">
        <v>1565</v>
      </c>
      <c r="G221" s="3" t="s">
        <v>827</v>
      </c>
      <c r="H221" s="3" t="s">
        <v>828</v>
      </c>
      <c r="I221" s="3"/>
      <c r="J221" s="4" t="b">
        <v>0</v>
      </c>
      <c r="K221" s="3">
        <f t="shared" si="10"/>
        <v>80</v>
      </c>
      <c r="L221" s="3"/>
      <c r="M221" s="3"/>
      <c r="N221" s="3" t="b">
        <v>0</v>
      </c>
      <c r="O221" s="3"/>
      <c r="P221" s="3">
        <v>60</v>
      </c>
      <c r="Q221" s="3" t="s">
        <v>1566</v>
      </c>
      <c r="R221" s="3" t="s">
        <v>1276</v>
      </c>
      <c r="S221" s="3" t="s">
        <v>264</v>
      </c>
      <c r="T221" s="3" t="s">
        <v>26</v>
      </c>
      <c r="U221" s="3" t="b">
        <v>0</v>
      </c>
      <c r="V221" s="3">
        <v>0.60000002384185802</v>
      </c>
      <c r="W221" s="3" t="e">
        <f t="shared" si="9"/>
        <v>#VALUE!</v>
      </c>
      <c r="X221" s="3">
        <v>9</v>
      </c>
      <c r="Y221" s="3">
        <v>0.79000002145767201</v>
      </c>
      <c r="Z221" s="3"/>
      <c r="AA221" s="3" t="str">
        <f t="shared" si="11"/>
        <v>Species</v>
      </c>
      <c r="AB221" s="3">
        <v>100</v>
      </c>
      <c r="AC221" s="3" t="s">
        <v>1183</v>
      </c>
      <c r="AD221" s="3" t="s">
        <v>1183</v>
      </c>
      <c r="AE221" s="3">
        <v>100</v>
      </c>
      <c r="AF221" s="5">
        <v>80</v>
      </c>
      <c r="AG221" s="3" t="s">
        <v>1183</v>
      </c>
      <c r="AH221" s="3" t="s">
        <v>1183</v>
      </c>
      <c r="AI221" s="3" t="s">
        <v>1183</v>
      </c>
      <c r="AJ221" s="3" t="s">
        <v>1183</v>
      </c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6">
        <v>52</v>
      </c>
      <c r="BF221" s="6">
        <v>6</v>
      </c>
      <c r="BG221" s="6">
        <v>54</v>
      </c>
    </row>
    <row r="222" spans="1:59" ht="15.75" x14ac:dyDescent="0.25">
      <c r="A222" s="3">
        <v>206</v>
      </c>
      <c r="B222" s="3" t="s">
        <v>829</v>
      </c>
      <c r="C222" s="3" t="s">
        <v>321</v>
      </c>
      <c r="D222" s="3" t="s">
        <v>1558</v>
      </c>
      <c r="E222" s="3" t="s">
        <v>808</v>
      </c>
      <c r="F222" s="3" t="s">
        <v>1567</v>
      </c>
      <c r="G222" s="3" t="s">
        <v>830</v>
      </c>
      <c r="H222" s="3" t="s">
        <v>831</v>
      </c>
      <c r="I222" s="3"/>
      <c r="J222" s="4" t="b">
        <v>1</v>
      </c>
      <c r="K222" s="3">
        <f t="shared" si="10"/>
        <v>75</v>
      </c>
      <c r="L222" s="3"/>
      <c r="M222" s="3"/>
      <c r="N222" s="3" t="b">
        <v>0</v>
      </c>
      <c r="O222" s="3"/>
      <c r="P222" s="3">
        <v>56.400001525878899</v>
      </c>
      <c r="Q222" s="3" t="s">
        <v>1213</v>
      </c>
      <c r="R222" s="3" t="s">
        <v>1276</v>
      </c>
      <c r="S222" s="3" t="s">
        <v>832</v>
      </c>
      <c r="T222" s="3" t="s">
        <v>26</v>
      </c>
      <c r="U222" s="3" t="b">
        <v>0</v>
      </c>
      <c r="V222" s="3">
        <v>0.69999998807907104</v>
      </c>
      <c r="W222" s="3" t="e">
        <f t="shared" si="9"/>
        <v>#VALUE!</v>
      </c>
      <c r="X222" s="3">
        <v>9</v>
      </c>
      <c r="Y222" s="3">
        <v>0.79000002145767201</v>
      </c>
      <c r="Z222" s="3"/>
      <c r="AA222" s="3" t="str">
        <f t="shared" si="11"/>
        <v>Species</v>
      </c>
      <c r="AB222" s="3">
        <v>75</v>
      </c>
      <c r="AC222" s="3">
        <v>150</v>
      </c>
      <c r="AD222" s="3" t="s">
        <v>1208</v>
      </c>
      <c r="AE222" s="3">
        <v>75</v>
      </c>
      <c r="AF222" s="5">
        <v>75</v>
      </c>
      <c r="AG222" s="3" t="s">
        <v>1568</v>
      </c>
      <c r="AH222" s="3">
        <v>50</v>
      </c>
      <c r="AI222" s="3">
        <v>150</v>
      </c>
      <c r="AJ222" s="3">
        <v>20</v>
      </c>
      <c r="AK222" s="3">
        <v>30</v>
      </c>
      <c r="AL222" s="3"/>
      <c r="AM222" s="3">
        <v>1</v>
      </c>
      <c r="AN222" s="3">
        <v>2</v>
      </c>
      <c r="AO222" s="3">
        <v>50</v>
      </c>
      <c r="AP222" s="3">
        <v>80</v>
      </c>
      <c r="AQ222" s="3"/>
      <c r="AR222" s="3"/>
      <c r="AS222" s="3">
        <v>75</v>
      </c>
      <c r="AT222" s="3"/>
      <c r="AU222" s="3">
        <v>25</v>
      </c>
      <c r="AV222" s="3"/>
      <c r="AW222" s="3"/>
      <c r="AX222" s="3"/>
      <c r="AY222" s="3"/>
      <c r="AZ222" s="3"/>
      <c r="BA222" s="3"/>
      <c r="BB222" s="3"/>
      <c r="BC222" s="3"/>
      <c r="BD222" s="3"/>
      <c r="BE222" s="6">
        <v>43</v>
      </c>
      <c r="BF222" s="6">
        <v>889</v>
      </c>
      <c r="BG222" s="6">
        <v>99</v>
      </c>
    </row>
    <row r="223" spans="1:59" ht="15.75" x14ac:dyDescent="0.25">
      <c r="A223" s="3">
        <v>208</v>
      </c>
      <c r="B223" s="3" t="s">
        <v>844</v>
      </c>
      <c r="C223" s="3" t="s">
        <v>321</v>
      </c>
      <c r="D223" s="3" t="s">
        <v>1558</v>
      </c>
      <c r="E223" s="3" t="s">
        <v>808</v>
      </c>
      <c r="F223" s="3" t="s">
        <v>1569</v>
      </c>
      <c r="G223" s="3" t="s">
        <v>845</v>
      </c>
      <c r="H223" s="3" t="s">
        <v>846</v>
      </c>
      <c r="I223" s="3"/>
      <c r="J223" s="4" t="b">
        <v>0</v>
      </c>
      <c r="K223" s="3">
        <f t="shared" si="10"/>
        <v>50</v>
      </c>
      <c r="L223" s="3"/>
      <c r="M223" s="3"/>
      <c r="N223" s="3" t="b">
        <v>1</v>
      </c>
      <c r="O223" s="3"/>
      <c r="P223" s="3">
        <v>50</v>
      </c>
      <c r="Q223" s="3"/>
      <c r="R223" s="3" t="s">
        <v>1276</v>
      </c>
      <c r="S223" s="3" t="s">
        <v>847</v>
      </c>
      <c r="T223" s="3" t="s">
        <v>26</v>
      </c>
      <c r="U223" s="3" t="b">
        <v>0</v>
      </c>
      <c r="V223" s="3">
        <v>0.52999997138977095</v>
      </c>
      <c r="W223" s="3" t="e">
        <f t="shared" si="9"/>
        <v>#VALUE!</v>
      </c>
      <c r="X223" s="3">
        <v>9</v>
      </c>
      <c r="Y223" s="3">
        <v>0.79000002145767201</v>
      </c>
      <c r="Z223" s="3"/>
      <c r="AA223" s="3" t="str">
        <f t="shared" si="11"/>
        <v>Species</v>
      </c>
      <c r="AB223" s="3" t="s">
        <v>1183</v>
      </c>
      <c r="AC223" s="3">
        <v>50</v>
      </c>
      <c r="AD223" s="3" t="s">
        <v>1208</v>
      </c>
      <c r="AE223" s="3">
        <v>58</v>
      </c>
      <c r="AF223" s="5">
        <v>50</v>
      </c>
      <c r="AG223" s="3" t="s">
        <v>1570</v>
      </c>
      <c r="AH223" s="3">
        <v>20</v>
      </c>
      <c r="AI223" s="3">
        <v>50</v>
      </c>
      <c r="AJ223" s="3">
        <v>20</v>
      </c>
      <c r="AK223" s="3">
        <v>35</v>
      </c>
      <c r="AL223" s="3"/>
      <c r="AM223" s="3"/>
      <c r="AN223" s="3"/>
      <c r="AO223" s="3"/>
      <c r="AP223" s="3"/>
      <c r="AQ223" s="3"/>
      <c r="AR223" s="3"/>
      <c r="AS223" s="3"/>
      <c r="AT223" s="3"/>
      <c r="AU223" s="3">
        <v>30</v>
      </c>
      <c r="AV223" s="3"/>
      <c r="AW223" s="3"/>
      <c r="AX223" s="3"/>
      <c r="AY223" s="3"/>
      <c r="AZ223" s="3"/>
      <c r="BA223" s="3"/>
      <c r="BB223" s="3"/>
      <c r="BC223" s="3"/>
      <c r="BD223" s="3"/>
      <c r="BE223" s="6">
        <v>40.700000000000045</v>
      </c>
      <c r="BF223" s="6">
        <v>1887</v>
      </c>
      <c r="BG223" s="6">
        <v>82</v>
      </c>
    </row>
    <row r="224" spans="1:59" ht="15.75" x14ac:dyDescent="0.25">
      <c r="A224" s="3">
        <v>209</v>
      </c>
      <c r="B224" s="3" t="s">
        <v>837</v>
      </c>
      <c r="C224" s="3" t="s">
        <v>321</v>
      </c>
      <c r="D224" s="3" t="s">
        <v>1558</v>
      </c>
      <c r="E224" s="3" t="s">
        <v>808</v>
      </c>
      <c r="F224" s="3" t="s">
        <v>1571</v>
      </c>
      <c r="G224" s="3" t="s">
        <v>838</v>
      </c>
      <c r="H224" s="3" t="s">
        <v>1572</v>
      </c>
      <c r="I224" s="3"/>
      <c r="J224" s="4" t="s">
        <v>1188</v>
      </c>
      <c r="K224" s="3" t="str">
        <f t="shared" si="10"/>
        <v/>
      </c>
      <c r="L224" s="3"/>
      <c r="M224" s="3"/>
      <c r="N224" s="3" t="b">
        <v>0</v>
      </c>
      <c r="O224" s="3"/>
      <c r="P224" s="3"/>
      <c r="Q224" s="3"/>
      <c r="R224" s="3" t="s">
        <v>1276</v>
      </c>
      <c r="S224" s="3"/>
      <c r="T224" s="3"/>
      <c r="U224" s="3"/>
      <c r="V224" s="3"/>
      <c r="W224" s="3" t="str">
        <f t="shared" si="9"/>
        <v/>
      </c>
      <c r="X224" s="3">
        <v>9</v>
      </c>
      <c r="Y224" s="3">
        <v>0.79000002145767201</v>
      </c>
      <c r="Z224" s="3"/>
      <c r="AA224" s="3" t="str">
        <f t="shared" si="11"/>
        <v>Genus</v>
      </c>
      <c r="AB224" s="3" t="s">
        <v>1183</v>
      </c>
      <c r="AC224" s="3" t="s">
        <v>1183</v>
      </c>
      <c r="AD224" s="3" t="s">
        <v>1183</v>
      </c>
      <c r="AE224" s="3" t="s">
        <v>1183</v>
      </c>
      <c r="AF224" s="5"/>
      <c r="AG224" s="3" t="s">
        <v>1183</v>
      </c>
      <c r="AH224" s="3" t="s">
        <v>1183</v>
      </c>
      <c r="AI224" s="3" t="s">
        <v>1183</v>
      </c>
      <c r="AJ224" s="3" t="s">
        <v>1183</v>
      </c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6">
        <v>32.799999999999997</v>
      </c>
      <c r="BF224" s="6">
        <v>71</v>
      </c>
      <c r="BG224" s="6">
        <v>60</v>
      </c>
    </row>
    <row r="225" spans="1:59" ht="15.75" x14ac:dyDescent="0.25">
      <c r="A225" s="3">
        <v>311</v>
      </c>
      <c r="B225" s="3" t="s">
        <v>816</v>
      </c>
      <c r="C225" s="3" t="s">
        <v>321</v>
      </c>
      <c r="D225" s="3" t="s">
        <v>1558</v>
      </c>
      <c r="E225" s="3" t="s">
        <v>808</v>
      </c>
      <c r="F225" s="3" t="s">
        <v>1710</v>
      </c>
      <c r="G225" s="3" t="s">
        <v>817</v>
      </c>
      <c r="H225" s="3" t="s">
        <v>818</v>
      </c>
      <c r="I225" s="3"/>
      <c r="J225" s="4" t="b">
        <v>0</v>
      </c>
      <c r="K225" s="3">
        <f t="shared" si="10"/>
        <v>100</v>
      </c>
      <c r="L225" s="3"/>
      <c r="M225" s="3"/>
      <c r="N225" s="3" t="b">
        <v>0</v>
      </c>
      <c r="O225" s="3"/>
      <c r="P225" s="3"/>
      <c r="Q225" s="3"/>
      <c r="R225" s="3" t="s">
        <v>1276</v>
      </c>
      <c r="S225" s="3" t="s">
        <v>819</v>
      </c>
      <c r="T225" s="3" t="s">
        <v>26</v>
      </c>
      <c r="U225" s="3" t="b">
        <v>1</v>
      </c>
      <c r="V225" s="3"/>
      <c r="W225" s="3" t="e">
        <f t="shared" si="9"/>
        <v>#VALUE!</v>
      </c>
      <c r="X225" s="3">
        <v>9</v>
      </c>
      <c r="Y225" s="3">
        <v>0.79000002145767201</v>
      </c>
      <c r="Z225" s="3"/>
      <c r="AA225" s="3" t="str">
        <f t="shared" si="11"/>
        <v>Species</v>
      </c>
      <c r="AB225" s="3"/>
      <c r="AC225" s="3"/>
      <c r="AD225" s="3"/>
      <c r="AE225" s="3"/>
      <c r="AF225" s="5">
        <v>100</v>
      </c>
      <c r="AG225" s="3" t="s">
        <v>1573</v>
      </c>
      <c r="AH225" s="3">
        <v>100</v>
      </c>
      <c r="AI225" s="3">
        <v>150</v>
      </c>
      <c r="AJ225" s="3">
        <v>30</v>
      </c>
      <c r="AK225" s="3">
        <v>40</v>
      </c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6">
        <v>34.399999999999991</v>
      </c>
      <c r="BF225" s="6">
        <v>10</v>
      </c>
      <c r="BG225" s="6">
        <v>47</v>
      </c>
    </row>
    <row r="226" spans="1:59" ht="15.75" x14ac:dyDescent="0.25">
      <c r="A226" s="3">
        <v>210</v>
      </c>
      <c r="B226" s="3" t="s">
        <v>840</v>
      </c>
      <c r="C226" s="3" t="s">
        <v>321</v>
      </c>
      <c r="D226" s="3" t="s">
        <v>1558</v>
      </c>
      <c r="E226" s="3" t="s">
        <v>808</v>
      </c>
      <c r="F226" s="3" t="s">
        <v>1574</v>
      </c>
      <c r="G226" s="3" t="s">
        <v>841</v>
      </c>
      <c r="H226" s="3" t="s">
        <v>842</v>
      </c>
      <c r="I226" s="3"/>
      <c r="J226" s="4" t="b">
        <v>1</v>
      </c>
      <c r="K226" s="3">
        <f t="shared" si="10"/>
        <v>100</v>
      </c>
      <c r="L226" s="3"/>
      <c r="M226" s="3"/>
      <c r="N226" s="3" t="b">
        <v>1</v>
      </c>
      <c r="O226" s="3"/>
      <c r="P226" s="3">
        <v>81.599998474121094</v>
      </c>
      <c r="Q226" s="3" t="s">
        <v>1213</v>
      </c>
      <c r="R226" s="3" t="s">
        <v>1276</v>
      </c>
      <c r="S226" s="3" t="s">
        <v>843</v>
      </c>
      <c r="T226" s="3" t="s">
        <v>26</v>
      </c>
      <c r="U226" s="3" t="b">
        <v>0</v>
      </c>
      <c r="V226" s="3">
        <v>0.75</v>
      </c>
      <c r="W226" s="3" t="e">
        <f t="shared" si="9"/>
        <v>#VALUE!</v>
      </c>
      <c r="X226" s="3">
        <v>9</v>
      </c>
      <c r="Y226" s="3">
        <v>0.79000002145767201</v>
      </c>
      <c r="Z226" s="3"/>
      <c r="AA226" s="3" t="str">
        <f t="shared" si="11"/>
        <v>Species</v>
      </c>
      <c r="AB226" s="3">
        <v>100</v>
      </c>
      <c r="AC226" s="3">
        <v>150</v>
      </c>
      <c r="AD226" s="3" t="s">
        <v>1208</v>
      </c>
      <c r="AE226" s="3">
        <v>100</v>
      </c>
      <c r="AF226" s="5">
        <v>100</v>
      </c>
      <c r="AG226" s="3" t="s">
        <v>1575</v>
      </c>
      <c r="AH226" s="3">
        <v>100</v>
      </c>
      <c r="AI226" s="3">
        <v>150</v>
      </c>
      <c r="AJ226" s="3">
        <v>30</v>
      </c>
      <c r="AK226" s="3">
        <v>40</v>
      </c>
      <c r="AL226" s="3"/>
      <c r="AM226" s="3"/>
      <c r="AN226" s="3"/>
      <c r="AO226" s="3"/>
      <c r="AP226" s="3"/>
      <c r="AQ226" s="3"/>
      <c r="AR226" s="3"/>
      <c r="AS226" s="3">
        <v>100</v>
      </c>
      <c r="AT226" s="3"/>
      <c r="AU226" s="3">
        <v>30</v>
      </c>
      <c r="AV226" s="3"/>
      <c r="AW226" s="3"/>
      <c r="AX226" s="3"/>
      <c r="AY226" s="3"/>
      <c r="AZ226" s="3"/>
      <c r="BA226" s="3"/>
      <c r="BB226" s="3"/>
      <c r="BC226" s="3"/>
      <c r="BD226" s="3"/>
      <c r="BE226" s="6">
        <v>52</v>
      </c>
      <c r="BF226" s="6">
        <v>2133</v>
      </c>
      <c r="BG226" s="6">
        <v>120</v>
      </c>
    </row>
    <row r="227" spans="1:59" ht="15.75" x14ac:dyDescent="0.25">
      <c r="A227" s="3">
        <v>211</v>
      </c>
      <c r="B227" s="3" t="s">
        <v>862</v>
      </c>
      <c r="C227" s="3" t="s">
        <v>855</v>
      </c>
      <c r="D227" s="3" t="s">
        <v>1576</v>
      </c>
      <c r="E227" s="3" t="s">
        <v>856</v>
      </c>
      <c r="F227" s="3" t="s">
        <v>1577</v>
      </c>
      <c r="G227" s="3" t="s">
        <v>863</v>
      </c>
      <c r="H227" s="3" t="s">
        <v>864</v>
      </c>
      <c r="I227" s="3"/>
      <c r="J227" s="4" t="b">
        <v>0</v>
      </c>
      <c r="K227" s="3">
        <f t="shared" si="10"/>
        <v>75</v>
      </c>
      <c r="L227" s="3"/>
      <c r="M227" s="3"/>
      <c r="N227" s="3" t="b">
        <v>0</v>
      </c>
      <c r="O227" s="3"/>
      <c r="P227" s="3">
        <v>40</v>
      </c>
      <c r="Q227" s="3"/>
      <c r="R227" s="3" t="s">
        <v>1181</v>
      </c>
      <c r="S227" s="3"/>
      <c r="T227" s="3" t="s">
        <v>26</v>
      </c>
      <c r="U227" s="3" t="b">
        <v>0</v>
      </c>
      <c r="V227" s="3">
        <v>0.68000000715255704</v>
      </c>
      <c r="W227" s="3" t="str">
        <f t="shared" si="9"/>
        <v/>
      </c>
      <c r="X227" s="3">
        <v>9</v>
      </c>
      <c r="Y227" s="3">
        <v>0.86000001430511497</v>
      </c>
      <c r="Z227" s="3"/>
      <c r="AA227" s="3" t="str">
        <f t="shared" si="11"/>
        <v>Species</v>
      </c>
      <c r="AB227" s="3" t="s">
        <v>1183</v>
      </c>
      <c r="AC227" s="3" t="s">
        <v>1183</v>
      </c>
      <c r="AD227" s="3" t="s">
        <v>1183</v>
      </c>
      <c r="AE227" s="3">
        <v>75</v>
      </c>
      <c r="AF227" s="5">
        <v>75</v>
      </c>
      <c r="AG227" s="3" t="s">
        <v>1183</v>
      </c>
      <c r="AH227" s="3" t="s">
        <v>1183</v>
      </c>
      <c r="AI227" s="3" t="s">
        <v>1183</v>
      </c>
      <c r="AJ227" s="3" t="s">
        <v>1183</v>
      </c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6">
        <v>59.400001525878899</v>
      </c>
      <c r="BF227" s="6">
        <v>81</v>
      </c>
      <c r="BG227" s="6">
        <v>80</v>
      </c>
    </row>
    <row r="228" spans="1:59" ht="15.75" x14ac:dyDescent="0.25">
      <c r="A228" s="3">
        <v>212</v>
      </c>
      <c r="B228" s="3" t="s">
        <v>865</v>
      </c>
      <c r="C228" s="3" t="s">
        <v>866</v>
      </c>
      <c r="D228" s="3" t="s">
        <v>866</v>
      </c>
      <c r="E228" s="3" t="s">
        <v>866</v>
      </c>
      <c r="F228" s="3" t="s">
        <v>865</v>
      </c>
      <c r="G228" s="3" t="s">
        <v>866</v>
      </c>
      <c r="H228" s="3" t="s">
        <v>866</v>
      </c>
      <c r="I228" s="3"/>
      <c r="J228" s="4" t="s">
        <v>1188</v>
      </c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 t="str">
        <f t="shared" si="9"/>
        <v/>
      </c>
      <c r="X228" s="3"/>
      <c r="Y228" s="3"/>
      <c r="Z228" s="3"/>
      <c r="AA228" s="3" t="s">
        <v>1329</v>
      </c>
      <c r="AB228" s="3"/>
      <c r="AC228" s="3" t="s">
        <v>1183</v>
      </c>
      <c r="AD228" s="3" t="s">
        <v>1183</v>
      </c>
      <c r="AE228" s="3" t="s">
        <v>1183</v>
      </c>
      <c r="AF228" s="5" t="s">
        <v>1183</v>
      </c>
      <c r="AG228" s="3" t="s">
        <v>1183</v>
      </c>
      <c r="AH228" s="3" t="s">
        <v>1183</v>
      </c>
      <c r="AI228" s="3" t="s">
        <v>1183</v>
      </c>
      <c r="AJ228" s="3" t="s">
        <v>1183</v>
      </c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6"/>
      <c r="BF228" s="6"/>
      <c r="BG228" s="6"/>
    </row>
    <row r="229" spans="1:59" ht="15.75" x14ac:dyDescent="0.25">
      <c r="A229" s="3">
        <v>213</v>
      </c>
      <c r="B229" s="3" t="s">
        <v>859</v>
      </c>
      <c r="C229" s="3" t="s">
        <v>855</v>
      </c>
      <c r="D229" s="3" t="s">
        <v>1576</v>
      </c>
      <c r="E229" s="3" t="s">
        <v>856</v>
      </c>
      <c r="F229" s="3" t="s">
        <v>1578</v>
      </c>
      <c r="G229" s="3" t="s">
        <v>860</v>
      </c>
      <c r="H229" s="3" t="s">
        <v>1579</v>
      </c>
      <c r="I229" s="3"/>
      <c r="J229" s="4" t="s">
        <v>1188</v>
      </c>
      <c r="K229" s="3" t="str">
        <f t="shared" si="10"/>
        <v/>
      </c>
      <c r="L229" s="3"/>
      <c r="M229" s="3"/>
      <c r="N229" s="3" t="b">
        <v>0</v>
      </c>
      <c r="O229" s="3"/>
      <c r="P229" s="3"/>
      <c r="Q229" s="3"/>
      <c r="R229" s="3" t="s">
        <v>1181</v>
      </c>
      <c r="S229" s="3"/>
      <c r="T229" s="3"/>
      <c r="U229" s="3"/>
      <c r="V229" s="3"/>
      <c r="W229" s="3" t="str">
        <f t="shared" si="9"/>
        <v/>
      </c>
      <c r="X229" s="3">
        <v>9</v>
      </c>
      <c r="Y229" s="3">
        <v>0.86000001430511497</v>
      </c>
      <c r="Z229" s="3"/>
      <c r="AA229" s="3" t="str">
        <f t="shared" si="11"/>
        <v>Genus</v>
      </c>
      <c r="AB229" s="3" t="s">
        <v>1183</v>
      </c>
      <c r="AC229" s="3" t="s">
        <v>1183</v>
      </c>
      <c r="AD229" s="3" t="s">
        <v>1183</v>
      </c>
      <c r="AE229" s="3" t="s">
        <v>1183</v>
      </c>
      <c r="AF229" s="5"/>
      <c r="AG229" s="3" t="s">
        <v>1183</v>
      </c>
      <c r="AH229" s="3" t="s">
        <v>1183</v>
      </c>
      <c r="AI229" s="3" t="s">
        <v>1183</v>
      </c>
      <c r="AJ229" s="3" t="s">
        <v>1183</v>
      </c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6" t="e">
        <v>#NUM!</v>
      </c>
      <c r="BF229" s="6">
        <v>0</v>
      </c>
      <c r="BG229" s="6" t="e">
        <v>#NUM!</v>
      </c>
    </row>
    <row r="230" spans="1:59" ht="15.75" x14ac:dyDescent="0.25">
      <c r="A230" s="3">
        <v>214</v>
      </c>
      <c r="B230" s="3" t="s">
        <v>219</v>
      </c>
      <c r="C230" s="3" t="s">
        <v>42</v>
      </c>
      <c r="D230" s="3" t="s">
        <v>1198</v>
      </c>
      <c r="E230" s="3" t="s">
        <v>220</v>
      </c>
      <c r="F230" s="3" t="s">
        <v>1580</v>
      </c>
      <c r="G230" s="3" t="s">
        <v>221</v>
      </c>
      <c r="H230" s="3" t="s">
        <v>222</v>
      </c>
      <c r="I230" s="3"/>
      <c r="J230" s="4" t="b">
        <v>1</v>
      </c>
      <c r="K230" s="3">
        <f t="shared" si="10"/>
        <v>30</v>
      </c>
      <c r="L230" s="3"/>
      <c r="M230" s="3"/>
      <c r="N230" s="3" t="b">
        <v>1</v>
      </c>
      <c r="O230" s="3"/>
      <c r="P230" s="3">
        <v>6</v>
      </c>
      <c r="Q230" s="3"/>
      <c r="R230" s="3" t="s">
        <v>1181</v>
      </c>
      <c r="S230" s="3" t="s">
        <v>223</v>
      </c>
      <c r="T230" s="3" t="s">
        <v>26</v>
      </c>
      <c r="U230" s="3" t="b">
        <v>0</v>
      </c>
      <c r="V230" s="3">
        <v>0.5</v>
      </c>
      <c r="W230" s="3" t="e">
        <f t="shared" si="9"/>
        <v>#VALUE!</v>
      </c>
      <c r="X230" s="3">
        <v>9</v>
      </c>
      <c r="Y230" s="3">
        <v>0.79000002145767201</v>
      </c>
      <c r="Z230" s="3"/>
      <c r="AA230" s="3" t="str">
        <f t="shared" si="11"/>
        <v>Species</v>
      </c>
      <c r="AB230" s="3" t="s">
        <v>1183</v>
      </c>
      <c r="AC230" s="3">
        <v>20</v>
      </c>
      <c r="AD230" s="3" t="s">
        <v>1208</v>
      </c>
      <c r="AE230" s="3" t="s">
        <v>1183</v>
      </c>
      <c r="AF230" s="5">
        <v>30</v>
      </c>
      <c r="AG230" s="3" t="s">
        <v>1183</v>
      </c>
      <c r="AH230" s="3" t="s">
        <v>1183</v>
      </c>
      <c r="AI230" s="3" t="s">
        <v>1183</v>
      </c>
      <c r="AJ230" s="3" t="s">
        <v>1183</v>
      </c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6">
        <v>24</v>
      </c>
      <c r="BF230" s="6">
        <v>84</v>
      </c>
      <c r="BG230" s="6">
        <v>54</v>
      </c>
    </row>
    <row r="231" spans="1:59" ht="15.75" x14ac:dyDescent="0.25">
      <c r="A231" s="3">
        <v>215</v>
      </c>
      <c r="B231" s="3" t="s">
        <v>231</v>
      </c>
      <c r="C231" s="3" t="s">
        <v>42</v>
      </c>
      <c r="D231" s="3" t="s">
        <v>1198</v>
      </c>
      <c r="E231" s="3" t="s">
        <v>220</v>
      </c>
      <c r="F231" s="3" t="s">
        <v>1581</v>
      </c>
      <c r="G231" s="3" t="s">
        <v>232</v>
      </c>
      <c r="H231" s="3" t="s">
        <v>233</v>
      </c>
      <c r="I231" s="3"/>
      <c r="J231" s="4" t="b">
        <v>1</v>
      </c>
      <c r="K231" s="3">
        <f t="shared" si="10"/>
        <v>30</v>
      </c>
      <c r="L231" s="3"/>
      <c r="M231" s="3"/>
      <c r="N231" s="3" t="b">
        <v>0</v>
      </c>
      <c r="O231" s="3"/>
      <c r="P231" s="3">
        <v>30</v>
      </c>
      <c r="Q231" s="3"/>
      <c r="R231" s="3" t="s">
        <v>1181</v>
      </c>
      <c r="S231" s="3" t="s">
        <v>114</v>
      </c>
      <c r="T231" s="3" t="s">
        <v>26</v>
      </c>
      <c r="U231" s="3" t="b">
        <v>0</v>
      </c>
      <c r="V231" s="3">
        <v>0.55000001192092896</v>
      </c>
      <c r="W231" s="3" t="e">
        <f t="shared" si="9"/>
        <v>#VALUE!</v>
      </c>
      <c r="X231" s="3">
        <v>9</v>
      </c>
      <c r="Y231" s="3">
        <v>0.79000002145767201</v>
      </c>
      <c r="Z231" s="3"/>
      <c r="AA231" s="3" t="str">
        <f t="shared" si="11"/>
        <v>Species</v>
      </c>
      <c r="AB231" s="3">
        <v>25</v>
      </c>
      <c r="AC231" s="3">
        <v>25</v>
      </c>
      <c r="AD231" s="3" t="s">
        <v>1208</v>
      </c>
      <c r="AE231" s="3">
        <v>25</v>
      </c>
      <c r="AF231" s="5">
        <v>30</v>
      </c>
      <c r="AG231" s="3" t="s">
        <v>1183</v>
      </c>
      <c r="AH231" s="3" t="s">
        <v>1183</v>
      </c>
      <c r="AI231" s="3" t="s">
        <v>1183</v>
      </c>
      <c r="AJ231" s="3" t="s">
        <v>1183</v>
      </c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6">
        <v>37.45000000000001</v>
      </c>
      <c r="BF231" s="6">
        <v>18</v>
      </c>
      <c r="BG231" s="6">
        <v>46</v>
      </c>
    </row>
    <row r="232" spans="1:59" ht="15.75" x14ac:dyDescent="0.25">
      <c r="A232" s="3">
        <v>216</v>
      </c>
      <c r="B232" s="3" t="s">
        <v>228</v>
      </c>
      <c r="C232" s="3" t="s">
        <v>42</v>
      </c>
      <c r="D232" s="3" t="s">
        <v>1198</v>
      </c>
      <c r="E232" s="3" t="s">
        <v>220</v>
      </c>
      <c r="F232" s="3" t="s">
        <v>1582</v>
      </c>
      <c r="G232" s="3" t="s">
        <v>229</v>
      </c>
      <c r="H232" s="3" t="s">
        <v>230</v>
      </c>
      <c r="I232" s="3"/>
      <c r="J232" s="4" t="b">
        <v>0</v>
      </c>
      <c r="K232" s="3" t="str">
        <f t="shared" si="10"/>
        <v/>
      </c>
      <c r="L232" s="3"/>
      <c r="M232" s="3"/>
      <c r="N232" s="3" t="b">
        <v>0</v>
      </c>
      <c r="O232" s="3"/>
      <c r="P232" s="3">
        <v>40</v>
      </c>
      <c r="Q232" s="3"/>
      <c r="R232" s="3" t="s">
        <v>1181</v>
      </c>
      <c r="S232" s="3"/>
      <c r="T232" s="3" t="s">
        <v>26</v>
      </c>
      <c r="U232" s="3" t="b">
        <v>0</v>
      </c>
      <c r="V232" s="3">
        <v>0.55000001192092896</v>
      </c>
      <c r="W232" s="3" t="str">
        <f t="shared" si="9"/>
        <v/>
      </c>
      <c r="X232" s="3">
        <v>9</v>
      </c>
      <c r="Y232" s="3">
        <v>0.79000002145767201</v>
      </c>
      <c r="Z232" s="3"/>
      <c r="AA232" s="3" t="str">
        <f t="shared" si="11"/>
        <v>Species</v>
      </c>
      <c r="AB232" s="3" t="s">
        <v>1183</v>
      </c>
      <c r="AC232" s="3" t="s">
        <v>1183</v>
      </c>
      <c r="AD232" s="3" t="s">
        <v>1183</v>
      </c>
      <c r="AE232" s="3" t="s">
        <v>1183</v>
      </c>
      <c r="AF232" s="5" t="s">
        <v>1183</v>
      </c>
      <c r="AG232" s="3" t="s">
        <v>1183</v>
      </c>
      <c r="AH232" s="3" t="s">
        <v>1183</v>
      </c>
      <c r="AI232" s="3" t="s">
        <v>1183</v>
      </c>
      <c r="AJ232" s="3" t="s">
        <v>1183</v>
      </c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6">
        <v>35.300000000000004</v>
      </c>
      <c r="BF232" s="6">
        <v>4</v>
      </c>
      <c r="BG232" s="6">
        <v>39.5</v>
      </c>
    </row>
    <row r="233" spans="1:59" ht="15.75" x14ac:dyDescent="0.25">
      <c r="A233" s="3">
        <v>287</v>
      </c>
      <c r="B233" s="3" t="s">
        <v>215</v>
      </c>
      <c r="C233" s="3" t="s">
        <v>216</v>
      </c>
      <c r="D233" s="3" t="s">
        <v>1288</v>
      </c>
      <c r="E233" s="3" t="s">
        <v>216</v>
      </c>
      <c r="F233" s="3" t="s">
        <v>1697</v>
      </c>
      <c r="G233" s="3" t="s">
        <v>217</v>
      </c>
      <c r="H233" s="3" t="s">
        <v>218</v>
      </c>
      <c r="I233" s="3"/>
      <c r="J233" s="4" t="b">
        <v>0</v>
      </c>
      <c r="K233" s="3" t="str">
        <f t="shared" si="10"/>
        <v/>
      </c>
      <c r="L233" s="3"/>
      <c r="M233" s="3"/>
      <c r="N233" s="3" t="b">
        <v>0</v>
      </c>
      <c r="O233" s="3"/>
      <c r="P233" s="3"/>
      <c r="Q233" s="3"/>
      <c r="R233" s="3" t="s">
        <v>1276</v>
      </c>
      <c r="S233" s="3"/>
      <c r="T233" s="3" t="s">
        <v>26</v>
      </c>
      <c r="U233" s="3" t="b">
        <v>0</v>
      </c>
      <c r="V233" s="3"/>
      <c r="W233" s="3" t="str">
        <f t="shared" si="9"/>
        <v/>
      </c>
      <c r="X233" s="3"/>
      <c r="Y233" s="3"/>
      <c r="Z233" s="3"/>
      <c r="AA233" s="3" t="str">
        <f t="shared" si="11"/>
        <v>Species</v>
      </c>
      <c r="AB233" s="3"/>
      <c r="AC233" s="3"/>
      <c r="AD233" s="3"/>
      <c r="AE233" s="3"/>
      <c r="AF233" s="5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6" t="e">
        <v>#NUM!</v>
      </c>
      <c r="BF233" s="6">
        <v>0</v>
      </c>
      <c r="BG233" s="6" t="e">
        <v>#NUM!</v>
      </c>
    </row>
    <row r="234" spans="1:59" ht="15.75" x14ac:dyDescent="0.25">
      <c r="A234" s="3">
        <v>217</v>
      </c>
      <c r="B234" s="3" t="s">
        <v>873</v>
      </c>
      <c r="C234" s="3" t="s">
        <v>868</v>
      </c>
      <c r="D234" s="3" t="s">
        <v>1215</v>
      </c>
      <c r="E234" s="3" t="s">
        <v>869</v>
      </c>
      <c r="F234" s="3" t="s">
        <v>1583</v>
      </c>
      <c r="G234" s="3" t="s">
        <v>874</v>
      </c>
      <c r="H234" s="3" t="s">
        <v>875</v>
      </c>
      <c r="I234" s="3"/>
      <c r="J234" s="4" t="b">
        <v>1</v>
      </c>
      <c r="K234" s="3">
        <f t="shared" si="10"/>
        <v>60</v>
      </c>
      <c r="L234" s="3"/>
      <c r="M234" s="3"/>
      <c r="N234" s="3" t="b">
        <v>1</v>
      </c>
      <c r="O234" s="3"/>
      <c r="P234" s="3">
        <v>66</v>
      </c>
      <c r="Q234" s="3" t="s">
        <v>1584</v>
      </c>
      <c r="R234" s="3" t="s">
        <v>1181</v>
      </c>
      <c r="S234" s="3" t="s">
        <v>876</v>
      </c>
      <c r="T234" s="3" t="s">
        <v>26</v>
      </c>
      <c r="U234" s="3" t="b">
        <v>0</v>
      </c>
      <c r="V234" s="3">
        <v>0.30000001192092901</v>
      </c>
      <c r="W234" s="3" t="e">
        <f t="shared" si="9"/>
        <v>#VALUE!</v>
      </c>
      <c r="X234" s="3">
        <v>9</v>
      </c>
      <c r="Y234" s="3">
        <v>0.79500001668930098</v>
      </c>
      <c r="Z234" s="3"/>
      <c r="AA234" s="3" t="str">
        <f t="shared" si="11"/>
        <v>Species</v>
      </c>
      <c r="AB234" s="3">
        <v>50</v>
      </c>
      <c r="AC234" s="3">
        <v>60</v>
      </c>
      <c r="AD234" s="3" t="s">
        <v>1208</v>
      </c>
      <c r="AE234" s="3">
        <v>50</v>
      </c>
      <c r="AF234" s="5">
        <v>60</v>
      </c>
      <c r="AG234" s="3" t="s">
        <v>1183</v>
      </c>
      <c r="AH234" s="3" t="s">
        <v>1183</v>
      </c>
      <c r="AI234" s="3" t="s">
        <v>1183</v>
      </c>
      <c r="AJ234" s="3" t="s">
        <v>1183</v>
      </c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6">
        <v>53</v>
      </c>
      <c r="BF234" s="6">
        <v>238</v>
      </c>
      <c r="BG234" s="6">
        <v>125</v>
      </c>
    </row>
    <row r="235" spans="1:59" ht="15.75" x14ac:dyDescent="0.25">
      <c r="A235" s="3">
        <v>218</v>
      </c>
      <c r="B235" s="3" t="s">
        <v>885</v>
      </c>
      <c r="C235" s="3" t="s">
        <v>868</v>
      </c>
      <c r="D235" s="3" t="s">
        <v>1215</v>
      </c>
      <c r="E235" s="3" t="s">
        <v>869</v>
      </c>
      <c r="F235" s="3" t="s">
        <v>1585</v>
      </c>
      <c r="G235" s="3" t="s">
        <v>886</v>
      </c>
      <c r="H235" s="3" t="s">
        <v>887</v>
      </c>
      <c r="I235" s="3"/>
      <c r="J235" s="4" t="b">
        <v>0</v>
      </c>
      <c r="K235" s="3">
        <f t="shared" si="10"/>
        <v>90</v>
      </c>
      <c r="L235" s="3"/>
      <c r="M235" s="3"/>
      <c r="N235" s="3" t="b">
        <v>1</v>
      </c>
      <c r="O235" s="3"/>
      <c r="P235" s="3">
        <v>80</v>
      </c>
      <c r="Q235" s="3" t="s">
        <v>1239</v>
      </c>
      <c r="R235" s="3" t="s">
        <v>1181</v>
      </c>
      <c r="S235" s="3" t="s">
        <v>872</v>
      </c>
      <c r="T235" s="3" t="s">
        <v>26</v>
      </c>
      <c r="U235" s="3" t="b">
        <v>0</v>
      </c>
      <c r="V235" s="3">
        <v>0.40000000596046398</v>
      </c>
      <c r="W235" s="3" t="e">
        <f t="shared" si="9"/>
        <v>#VALUE!</v>
      </c>
      <c r="X235" s="3">
        <v>9</v>
      </c>
      <c r="Y235" s="3">
        <v>0.79500001668930098</v>
      </c>
      <c r="Z235" s="3"/>
      <c r="AA235" s="3" t="str">
        <f t="shared" si="11"/>
        <v>Species</v>
      </c>
      <c r="AB235" s="3" t="s">
        <v>1183</v>
      </c>
      <c r="AC235" s="3" t="s">
        <v>1183</v>
      </c>
      <c r="AD235" s="3" t="s">
        <v>1183</v>
      </c>
      <c r="AE235" s="3" t="s">
        <v>1183</v>
      </c>
      <c r="AF235" s="5">
        <v>90</v>
      </c>
      <c r="AG235" s="3" t="s">
        <v>1183</v>
      </c>
      <c r="AH235" s="3" t="s">
        <v>1183</v>
      </c>
      <c r="AI235" s="3" t="s">
        <v>1183</v>
      </c>
      <c r="AJ235" s="3" t="s">
        <v>1183</v>
      </c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6">
        <v>90.4</v>
      </c>
      <c r="BF235" s="6">
        <v>69</v>
      </c>
      <c r="BG235" s="6">
        <v>132</v>
      </c>
    </row>
    <row r="236" spans="1:59" ht="15.75" x14ac:dyDescent="0.25">
      <c r="A236" s="3">
        <v>219</v>
      </c>
      <c r="B236" s="3" t="s">
        <v>895</v>
      </c>
      <c r="C236" s="3" t="s">
        <v>868</v>
      </c>
      <c r="D236" s="3" t="s">
        <v>1215</v>
      </c>
      <c r="E236" s="3" t="s">
        <v>869</v>
      </c>
      <c r="F236" s="3" t="s">
        <v>1586</v>
      </c>
      <c r="G236" s="3" t="s">
        <v>896</v>
      </c>
      <c r="H236" s="3" t="s">
        <v>897</v>
      </c>
      <c r="I236" s="3"/>
      <c r="J236" s="4" t="b">
        <v>1</v>
      </c>
      <c r="K236" s="3">
        <f t="shared" si="10"/>
        <v>80</v>
      </c>
      <c r="L236" s="3"/>
      <c r="M236" s="3"/>
      <c r="N236" s="3" t="b">
        <v>0</v>
      </c>
      <c r="O236" s="3"/>
      <c r="P236" s="3">
        <v>80</v>
      </c>
      <c r="Q236" s="3"/>
      <c r="R236" s="3" t="s">
        <v>1181</v>
      </c>
      <c r="S236" s="3"/>
      <c r="T236" s="3" t="s">
        <v>26</v>
      </c>
      <c r="U236" s="3" t="b">
        <v>0</v>
      </c>
      <c r="V236" s="3">
        <v>0.34999999403953602</v>
      </c>
      <c r="W236" s="3" t="str">
        <f t="shared" si="9"/>
        <v/>
      </c>
      <c r="X236" s="3">
        <v>9</v>
      </c>
      <c r="Y236" s="3">
        <v>0.79500001668930098</v>
      </c>
      <c r="Z236" s="3"/>
      <c r="AA236" s="3" t="str">
        <f t="shared" si="11"/>
        <v>Species</v>
      </c>
      <c r="AB236" s="3" t="s">
        <v>1183</v>
      </c>
      <c r="AC236" s="3" t="s">
        <v>1183</v>
      </c>
      <c r="AD236" s="3" t="s">
        <v>1183</v>
      </c>
      <c r="AE236" s="3" t="s">
        <v>1183</v>
      </c>
      <c r="AF236" s="5">
        <v>80</v>
      </c>
      <c r="AG236" s="3" t="s">
        <v>1183</v>
      </c>
      <c r="AH236" s="3" t="s">
        <v>1183</v>
      </c>
      <c r="AI236" s="3" t="s">
        <v>1183</v>
      </c>
      <c r="AJ236" s="3" t="s">
        <v>1183</v>
      </c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6">
        <v>73.399999999999991</v>
      </c>
      <c r="BF236" s="6">
        <v>3</v>
      </c>
      <c r="BG236" s="6">
        <v>86</v>
      </c>
    </row>
    <row r="237" spans="1:59" ht="15.75" x14ac:dyDescent="0.25">
      <c r="A237" s="3">
        <v>220</v>
      </c>
      <c r="B237" s="3" t="s">
        <v>888</v>
      </c>
      <c r="C237" s="3" t="s">
        <v>868</v>
      </c>
      <c r="D237" s="3" t="s">
        <v>1215</v>
      </c>
      <c r="E237" s="3" t="s">
        <v>869</v>
      </c>
      <c r="F237" s="3" t="s">
        <v>1587</v>
      </c>
      <c r="G237" s="3" t="s">
        <v>889</v>
      </c>
      <c r="H237" s="3" t="s">
        <v>1588</v>
      </c>
      <c r="I237" s="3"/>
      <c r="J237" s="4" t="s">
        <v>1188</v>
      </c>
      <c r="K237" s="3" t="str">
        <f t="shared" si="10"/>
        <v/>
      </c>
      <c r="L237" s="3"/>
      <c r="M237" s="3"/>
      <c r="N237" s="3" t="b">
        <v>0</v>
      </c>
      <c r="O237" s="3"/>
      <c r="P237" s="3"/>
      <c r="Q237" s="3"/>
      <c r="R237" s="3" t="s">
        <v>1181</v>
      </c>
      <c r="S237" s="3"/>
      <c r="T237" s="3"/>
      <c r="U237" s="3"/>
      <c r="V237" s="3"/>
      <c r="W237" s="3" t="str">
        <f t="shared" si="9"/>
        <v/>
      </c>
      <c r="X237" s="3">
        <v>9</v>
      </c>
      <c r="Y237" s="3">
        <v>0.79500001668930098</v>
      </c>
      <c r="Z237" s="3"/>
      <c r="AA237" s="3" t="str">
        <f t="shared" si="11"/>
        <v>Genus</v>
      </c>
      <c r="AB237" s="3" t="s">
        <v>1183</v>
      </c>
      <c r="AC237" s="3" t="s">
        <v>1183</v>
      </c>
      <c r="AD237" s="3" t="s">
        <v>1183</v>
      </c>
      <c r="AE237" s="3" t="s">
        <v>1183</v>
      </c>
      <c r="AF237" s="5"/>
      <c r="AG237" s="3" t="s">
        <v>1183</v>
      </c>
      <c r="AH237" s="3" t="s">
        <v>1183</v>
      </c>
      <c r="AI237" s="3" t="s">
        <v>1183</v>
      </c>
      <c r="AJ237" s="3" t="s">
        <v>1183</v>
      </c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6">
        <v>67.999999999999972</v>
      </c>
      <c r="BF237" s="6">
        <v>235</v>
      </c>
      <c r="BG237" s="6">
        <v>160</v>
      </c>
    </row>
    <row r="238" spans="1:59" ht="15.75" x14ac:dyDescent="0.25">
      <c r="A238" s="3">
        <v>221</v>
      </c>
      <c r="B238" s="3" t="s">
        <v>867</v>
      </c>
      <c r="C238" s="3" t="s">
        <v>868</v>
      </c>
      <c r="D238" s="3" t="s">
        <v>1215</v>
      </c>
      <c r="E238" s="3" t="s">
        <v>869</v>
      </c>
      <c r="F238" s="3" t="s">
        <v>1589</v>
      </c>
      <c r="G238" s="3" t="s">
        <v>870</v>
      </c>
      <c r="H238" s="3" t="s">
        <v>871</v>
      </c>
      <c r="I238" s="3"/>
      <c r="J238" s="4" t="b">
        <v>0</v>
      </c>
      <c r="K238" s="3">
        <f t="shared" si="10"/>
        <v>60</v>
      </c>
      <c r="L238" s="3"/>
      <c r="M238" s="3"/>
      <c r="N238" s="3" t="b">
        <v>1</v>
      </c>
      <c r="O238" s="3"/>
      <c r="P238" s="3">
        <v>100</v>
      </c>
      <c r="Q238" s="3" t="s">
        <v>1239</v>
      </c>
      <c r="R238" s="3" t="s">
        <v>1181</v>
      </c>
      <c r="S238" s="3" t="s">
        <v>872</v>
      </c>
      <c r="T238" s="3" t="s">
        <v>26</v>
      </c>
      <c r="U238" s="3" t="b">
        <v>0</v>
      </c>
      <c r="V238" s="3">
        <v>0.44999998807907099</v>
      </c>
      <c r="W238" s="3" t="e">
        <f t="shared" si="9"/>
        <v>#VALUE!</v>
      </c>
      <c r="X238" s="3">
        <v>9</v>
      </c>
      <c r="Y238" s="3">
        <v>0.79500001668930098</v>
      </c>
      <c r="Z238" s="3"/>
      <c r="AA238" s="3" t="str">
        <f t="shared" si="11"/>
        <v>Species</v>
      </c>
      <c r="AB238" s="3" t="s">
        <v>1183</v>
      </c>
      <c r="AC238" s="3" t="s">
        <v>1183</v>
      </c>
      <c r="AD238" s="3" t="s">
        <v>1183</v>
      </c>
      <c r="AE238" s="3" t="s">
        <v>1183</v>
      </c>
      <c r="AF238" s="5">
        <v>60</v>
      </c>
      <c r="AG238" s="3" t="s">
        <v>1183</v>
      </c>
      <c r="AH238" s="3" t="s">
        <v>1183</v>
      </c>
      <c r="AI238" s="3" t="s">
        <v>1183</v>
      </c>
      <c r="AJ238" s="3" t="s">
        <v>1183</v>
      </c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6">
        <v>55</v>
      </c>
      <c r="BF238" s="6">
        <v>372</v>
      </c>
      <c r="BG238" s="6">
        <v>153</v>
      </c>
    </row>
    <row r="239" spans="1:59" ht="15.75" x14ac:dyDescent="0.25">
      <c r="A239" s="3">
        <v>222</v>
      </c>
      <c r="B239" s="3" t="s">
        <v>256</v>
      </c>
      <c r="C239" s="3" t="s">
        <v>42</v>
      </c>
      <c r="D239" s="3" t="s">
        <v>1198</v>
      </c>
      <c r="E239" s="3" t="s">
        <v>220</v>
      </c>
      <c r="F239" s="3" t="s">
        <v>1590</v>
      </c>
      <c r="G239" s="3" t="s">
        <v>257</v>
      </c>
      <c r="H239" s="3" t="s">
        <v>1311</v>
      </c>
      <c r="I239" s="3"/>
      <c r="J239" s="4" t="s">
        <v>1188</v>
      </c>
      <c r="K239" s="3" t="str">
        <f t="shared" si="10"/>
        <v/>
      </c>
      <c r="L239" s="3"/>
      <c r="M239" s="3"/>
      <c r="N239" s="3" t="b">
        <v>0</v>
      </c>
      <c r="O239" s="3"/>
      <c r="P239" s="3"/>
      <c r="Q239" s="3"/>
      <c r="R239" s="3" t="s">
        <v>1181</v>
      </c>
      <c r="S239" s="3"/>
      <c r="T239" s="3"/>
      <c r="U239" s="3"/>
      <c r="V239" s="3"/>
      <c r="W239" s="3" t="str">
        <f t="shared" si="9"/>
        <v/>
      </c>
      <c r="X239" s="3">
        <v>9</v>
      </c>
      <c r="Y239" s="3">
        <v>0.79000002145767201</v>
      </c>
      <c r="Z239" s="3"/>
      <c r="AA239" s="3" t="str">
        <f t="shared" si="11"/>
        <v>Genus</v>
      </c>
      <c r="AB239" s="3" t="s">
        <v>1183</v>
      </c>
      <c r="AC239" s="3" t="s">
        <v>1183</v>
      </c>
      <c r="AD239" s="3" t="s">
        <v>1183</v>
      </c>
      <c r="AE239" s="3" t="s">
        <v>1183</v>
      </c>
      <c r="AF239" s="5"/>
      <c r="AG239" s="3" t="s">
        <v>1183</v>
      </c>
      <c r="AH239" s="3" t="s">
        <v>1183</v>
      </c>
      <c r="AI239" s="3" t="s">
        <v>1183</v>
      </c>
      <c r="AJ239" s="3" t="s">
        <v>1183</v>
      </c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6">
        <v>35.700000000000045</v>
      </c>
      <c r="BF239" s="6">
        <v>814</v>
      </c>
      <c r="BG239" s="6">
        <v>108</v>
      </c>
    </row>
    <row r="240" spans="1:59" ht="15.75" x14ac:dyDescent="0.25">
      <c r="A240" s="3">
        <v>223</v>
      </c>
      <c r="B240" s="3" t="s">
        <v>395</v>
      </c>
      <c r="C240" s="3" t="s">
        <v>396</v>
      </c>
      <c r="D240" s="3" t="s">
        <v>1591</v>
      </c>
      <c r="E240" s="3" t="s">
        <v>397</v>
      </c>
      <c r="F240" s="3" t="s">
        <v>1592</v>
      </c>
      <c r="G240" s="3" t="s">
        <v>397</v>
      </c>
      <c r="H240" s="3" t="s">
        <v>398</v>
      </c>
      <c r="I240" s="3"/>
      <c r="J240" s="4" t="b">
        <v>0</v>
      </c>
      <c r="K240" s="3" t="str">
        <f t="shared" si="10"/>
        <v/>
      </c>
      <c r="L240" s="3"/>
      <c r="M240" s="3"/>
      <c r="N240" s="3" t="b">
        <v>0</v>
      </c>
      <c r="O240" s="3"/>
      <c r="P240" s="3">
        <v>40</v>
      </c>
      <c r="Q240" s="3"/>
      <c r="R240" s="3" t="s">
        <v>1181</v>
      </c>
      <c r="S240" s="3" t="s">
        <v>399</v>
      </c>
      <c r="T240" s="3" t="s">
        <v>26</v>
      </c>
      <c r="U240" s="3" t="b">
        <v>0</v>
      </c>
      <c r="V240" s="3">
        <v>0.60000002384185802</v>
      </c>
      <c r="W240" s="3" t="e">
        <f t="shared" si="9"/>
        <v>#VALUE!</v>
      </c>
      <c r="X240" s="3">
        <v>9</v>
      </c>
      <c r="Y240" s="3">
        <v>0.81000000238418601</v>
      </c>
      <c r="Z240" s="3"/>
      <c r="AA240" s="3" t="str">
        <f t="shared" si="11"/>
        <v>Species</v>
      </c>
      <c r="AB240" s="3" t="s">
        <v>1183</v>
      </c>
      <c r="AC240" s="3" t="s">
        <v>1183</v>
      </c>
      <c r="AD240" s="3" t="s">
        <v>1183</v>
      </c>
      <c r="AE240" s="3" t="s">
        <v>1183</v>
      </c>
      <c r="AF240" s="5" t="s">
        <v>1183</v>
      </c>
      <c r="AG240" s="3" t="s">
        <v>1183</v>
      </c>
      <c r="AH240" s="3" t="s">
        <v>1183</v>
      </c>
      <c r="AI240" s="3" t="s">
        <v>1183</v>
      </c>
      <c r="AJ240" s="3" t="s">
        <v>1183</v>
      </c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6">
        <v>7.9</v>
      </c>
      <c r="BF240" s="6">
        <v>2</v>
      </c>
      <c r="BG240" s="6">
        <v>8</v>
      </c>
    </row>
    <row r="241" spans="1:59" ht="15.75" x14ac:dyDescent="0.25">
      <c r="A241" s="3">
        <v>224</v>
      </c>
      <c r="B241" s="3" t="s">
        <v>901</v>
      </c>
      <c r="C241" s="3" t="s">
        <v>141</v>
      </c>
      <c r="D241" s="3" t="s">
        <v>1593</v>
      </c>
      <c r="E241" s="3" t="s">
        <v>902</v>
      </c>
      <c r="F241" s="3" t="s">
        <v>1594</v>
      </c>
      <c r="G241" s="3" t="s">
        <v>902</v>
      </c>
      <c r="H241" s="3" t="s">
        <v>903</v>
      </c>
      <c r="I241" s="3"/>
      <c r="J241" s="4" t="b">
        <v>1</v>
      </c>
      <c r="K241" s="3">
        <f t="shared" si="10"/>
        <v>25</v>
      </c>
      <c r="L241" s="3"/>
      <c r="M241" s="3"/>
      <c r="N241" s="3" t="b">
        <v>1</v>
      </c>
      <c r="O241" s="3"/>
      <c r="P241" s="3">
        <v>13.6199998855591</v>
      </c>
      <c r="Q241" s="3"/>
      <c r="R241" s="3" t="s">
        <v>1181</v>
      </c>
      <c r="S241" s="3" t="s">
        <v>904</v>
      </c>
      <c r="T241" s="3" t="s">
        <v>26</v>
      </c>
      <c r="U241" s="3" t="b">
        <v>0</v>
      </c>
      <c r="V241" s="3">
        <v>0.68999999761581399</v>
      </c>
      <c r="W241" s="3" t="e">
        <f t="shared" si="9"/>
        <v>#VALUE!</v>
      </c>
      <c r="X241" s="3">
        <v>9</v>
      </c>
      <c r="Y241" s="3">
        <v>0.79000002145767201</v>
      </c>
      <c r="Z241" s="3"/>
      <c r="AA241" s="3" t="str">
        <f t="shared" si="11"/>
        <v>Species</v>
      </c>
      <c r="AB241" s="3">
        <v>25</v>
      </c>
      <c r="AC241" s="3">
        <v>30</v>
      </c>
      <c r="AD241" s="3" t="s">
        <v>1208</v>
      </c>
      <c r="AE241" s="3">
        <v>25</v>
      </c>
      <c r="AF241" s="5">
        <v>25</v>
      </c>
      <c r="AG241" s="3" t="s">
        <v>1183</v>
      </c>
      <c r="AH241" s="3" t="s">
        <v>1183</v>
      </c>
      <c r="AI241" s="3" t="s">
        <v>1183</v>
      </c>
      <c r="AJ241" s="3" t="s">
        <v>1183</v>
      </c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6">
        <v>14.440000000000003</v>
      </c>
      <c r="BF241" s="6">
        <v>169</v>
      </c>
      <c r="BG241" s="6">
        <v>50.3</v>
      </c>
    </row>
    <row r="242" spans="1:59" ht="15.75" x14ac:dyDescent="0.25">
      <c r="A242" s="3">
        <v>225</v>
      </c>
      <c r="B242" s="3" t="s">
        <v>905</v>
      </c>
      <c r="C242" s="3" t="s">
        <v>288</v>
      </c>
      <c r="D242" s="3" t="s">
        <v>1595</v>
      </c>
      <c r="E242" s="3" t="s">
        <v>906</v>
      </c>
      <c r="F242" s="3" t="s">
        <v>1596</v>
      </c>
      <c r="G242" s="3" t="s">
        <v>907</v>
      </c>
      <c r="H242" s="3" t="s">
        <v>908</v>
      </c>
      <c r="I242" s="3"/>
      <c r="J242" s="4" t="b">
        <v>0</v>
      </c>
      <c r="K242" s="3">
        <f t="shared" si="10"/>
        <v>90</v>
      </c>
      <c r="L242" s="3"/>
      <c r="M242" s="3"/>
      <c r="N242" s="3" t="b">
        <v>0</v>
      </c>
      <c r="O242" s="3"/>
      <c r="P242" s="3">
        <v>98.699996948242202</v>
      </c>
      <c r="Q242" s="3"/>
      <c r="R242" s="3" t="s">
        <v>1276</v>
      </c>
      <c r="S242" s="3" t="s">
        <v>909</v>
      </c>
      <c r="T242" s="3" t="s">
        <v>26</v>
      </c>
      <c r="U242" s="3" t="b">
        <v>0</v>
      </c>
      <c r="V242" s="3">
        <v>0.87000000476837203</v>
      </c>
      <c r="W242" s="3" t="e">
        <f t="shared" si="9"/>
        <v>#VALUE!</v>
      </c>
      <c r="X242" s="3">
        <v>9</v>
      </c>
      <c r="Y242" s="3">
        <v>0.79000002145767201</v>
      </c>
      <c r="Z242" s="3"/>
      <c r="AA242" s="3" t="str">
        <f t="shared" si="11"/>
        <v>Species</v>
      </c>
      <c r="AB242" s="3">
        <v>300</v>
      </c>
      <c r="AC242" s="3" t="s">
        <v>1183</v>
      </c>
      <c r="AD242" s="3" t="s">
        <v>1183</v>
      </c>
      <c r="AE242" s="3">
        <v>300</v>
      </c>
      <c r="AF242" s="5">
        <v>90</v>
      </c>
      <c r="AG242" s="3" t="s">
        <v>1183</v>
      </c>
      <c r="AH242" s="3" t="s">
        <v>1183</v>
      </c>
      <c r="AI242" s="3" t="s">
        <v>1183</v>
      </c>
      <c r="AJ242" s="3" t="s">
        <v>1183</v>
      </c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6">
        <v>50.58</v>
      </c>
      <c r="BF242" s="6">
        <v>20</v>
      </c>
      <c r="BG242" s="6">
        <v>52.5</v>
      </c>
    </row>
    <row r="243" spans="1:59" ht="15.75" x14ac:dyDescent="0.25">
      <c r="A243" s="3">
        <v>286</v>
      </c>
      <c r="B243" s="3" t="s">
        <v>930</v>
      </c>
      <c r="C243" s="3" t="s">
        <v>288</v>
      </c>
      <c r="D243" s="3" t="s">
        <v>1597</v>
      </c>
      <c r="E243" s="3" t="s">
        <v>931</v>
      </c>
      <c r="F243" s="3" t="s">
        <v>1598</v>
      </c>
      <c r="G243" s="3" t="s">
        <v>906</v>
      </c>
      <c r="H243" s="3" t="s">
        <v>932</v>
      </c>
      <c r="I243" s="3"/>
      <c r="J243" s="4" t="b">
        <v>0</v>
      </c>
      <c r="K243" s="3" t="str">
        <f t="shared" si="10"/>
        <v/>
      </c>
      <c r="L243" s="3"/>
      <c r="M243" s="3"/>
      <c r="N243" s="3" t="b">
        <v>0</v>
      </c>
      <c r="O243" s="3"/>
      <c r="P243" s="3"/>
      <c r="Q243" s="3"/>
      <c r="R243" s="3" t="s">
        <v>1276</v>
      </c>
      <c r="S243" s="3" t="s">
        <v>933</v>
      </c>
      <c r="T243" s="3" t="s">
        <v>26</v>
      </c>
      <c r="U243" s="3" t="b">
        <v>1</v>
      </c>
      <c r="V243" s="3"/>
      <c r="W243" s="3" t="e">
        <f t="shared" si="9"/>
        <v>#VALUE!</v>
      </c>
      <c r="X243" s="3">
        <v>9</v>
      </c>
      <c r="Y243" s="3"/>
      <c r="Z243" s="3"/>
      <c r="AA243" s="3" t="str">
        <f t="shared" si="11"/>
        <v>Species</v>
      </c>
      <c r="AB243" s="3" t="s">
        <v>1183</v>
      </c>
      <c r="AC243" s="3" t="s">
        <v>1183</v>
      </c>
      <c r="AD243" s="3" t="s">
        <v>1183</v>
      </c>
      <c r="AE243" s="3" t="s">
        <v>1183</v>
      </c>
      <c r="AF243" s="5" t="s">
        <v>1183</v>
      </c>
      <c r="AG243" s="3" t="s">
        <v>1183</v>
      </c>
      <c r="AH243" s="3" t="s">
        <v>1183</v>
      </c>
      <c r="AI243" s="3" t="s">
        <v>1183</v>
      </c>
      <c r="AJ243" s="3" t="s">
        <v>1183</v>
      </c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6" t="e">
        <v>#NUM!</v>
      </c>
      <c r="BF243" s="6">
        <v>0</v>
      </c>
      <c r="BG243" s="6" t="e">
        <v>#NUM!</v>
      </c>
    </row>
    <row r="244" spans="1:59" ht="15.75" x14ac:dyDescent="0.25">
      <c r="A244" s="3">
        <v>227</v>
      </c>
      <c r="B244" s="3" t="s">
        <v>910</v>
      </c>
      <c r="C244" s="3" t="s">
        <v>42</v>
      </c>
      <c r="D244" s="3" t="s">
        <v>1599</v>
      </c>
      <c r="E244" s="3" t="s">
        <v>911</v>
      </c>
      <c r="F244" s="3" t="s">
        <v>1694</v>
      </c>
      <c r="G244" s="3" t="s">
        <v>910</v>
      </c>
      <c r="H244" s="3" t="s">
        <v>1695</v>
      </c>
      <c r="I244" s="3"/>
      <c r="J244" s="4" t="s">
        <v>1188</v>
      </c>
      <c r="K244" s="3" t="str">
        <f t="shared" si="10"/>
        <v/>
      </c>
      <c r="L244" s="3"/>
      <c r="M244" s="3"/>
      <c r="N244" s="3" t="b">
        <v>0</v>
      </c>
      <c r="O244" s="3"/>
      <c r="P244" s="3"/>
      <c r="Q244" s="3"/>
      <c r="R244" s="3" t="s">
        <v>1181</v>
      </c>
      <c r="S244" s="3"/>
      <c r="T244" s="3" t="s">
        <v>26</v>
      </c>
      <c r="U244" s="3" t="b">
        <v>0</v>
      </c>
      <c r="V244" s="3"/>
      <c r="W244" s="3" t="str">
        <f t="shared" si="9"/>
        <v/>
      </c>
      <c r="X244" s="3"/>
      <c r="Y244" s="3"/>
      <c r="Z244" s="3"/>
      <c r="AA244" s="3" t="str">
        <f t="shared" si="11"/>
        <v>Species</v>
      </c>
      <c r="AB244" s="3" t="s">
        <v>1183</v>
      </c>
      <c r="AC244" s="3" t="s">
        <v>1183</v>
      </c>
      <c r="AD244" s="3" t="s">
        <v>1183</v>
      </c>
      <c r="AE244" s="3" t="s">
        <v>1183</v>
      </c>
      <c r="AF244" s="5" t="s">
        <v>1183</v>
      </c>
      <c r="AG244" s="3" t="s">
        <v>1183</v>
      </c>
      <c r="AH244" s="3" t="s">
        <v>1183</v>
      </c>
      <c r="AI244" s="3" t="s">
        <v>1183</v>
      </c>
      <c r="AJ244" s="3" t="s">
        <v>1183</v>
      </c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6" t="e">
        <v>#NUM!</v>
      </c>
      <c r="BF244" s="6">
        <v>0</v>
      </c>
      <c r="BG244" s="6" t="e">
        <v>#NUM!</v>
      </c>
    </row>
    <row r="245" spans="1:59" ht="15.75" x14ac:dyDescent="0.25">
      <c r="A245" s="3">
        <v>228</v>
      </c>
      <c r="B245" s="3" t="s">
        <v>913</v>
      </c>
      <c r="C245" s="3" t="s">
        <v>914</v>
      </c>
      <c r="D245" s="3" t="s">
        <v>1600</v>
      </c>
      <c r="E245" s="3" t="s">
        <v>915</v>
      </c>
      <c r="F245" s="3" t="s">
        <v>1601</v>
      </c>
      <c r="G245" s="3" t="s">
        <v>915</v>
      </c>
      <c r="H245" s="3" t="s">
        <v>916</v>
      </c>
      <c r="I245" s="3"/>
      <c r="J245" s="4" t="b">
        <v>0</v>
      </c>
      <c r="K245" s="3">
        <f t="shared" si="10"/>
        <v>10</v>
      </c>
      <c r="L245" s="3"/>
      <c r="M245" s="3"/>
      <c r="N245" s="3" t="b">
        <v>0</v>
      </c>
      <c r="O245" s="3"/>
      <c r="P245" s="3"/>
      <c r="Q245" s="3"/>
      <c r="R245" s="3" t="s">
        <v>1181</v>
      </c>
      <c r="S245" s="3"/>
      <c r="T245" s="3" t="s">
        <v>26</v>
      </c>
      <c r="U245" s="3" t="b">
        <v>0</v>
      </c>
      <c r="V245" s="3"/>
      <c r="W245" s="3" t="str">
        <f t="shared" si="9"/>
        <v/>
      </c>
      <c r="X245" s="3"/>
      <c r="Y245" s="3"/>
      <c r="Z245" s="3"/>
      <c r="AA245" s="3" t="str">
        <f t="shared" si="11"/>
        <v>Species</v>
      </c>
      <c r="AB245" s="3" t="s">
        <v>1183</v>
      </c>
      <c r="AC245" s="3" t="s">
        <v>1183</v>
      </c>
      <c r="AD245" s="3" t="s">
        <v>1183</v>
      </c>
      <c r="AE245" s="3" t="s">
        <v>1183</v>
      </c>
      <c r="AF245" s="5">
        <v>10</v>
      </c>
      <c r="AG245" s="3" t="s">
        <v>1183</v>
      </c>
      <c r="AH245" s="3" t="s">
        <v>1183</v>
      </c>
      <c r="AI245" s="3" t="s">
        <v>1183</v>
      </c>
      <c r="AJ245" s="3" t="s">
        <v>1183</v>
      </c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6">
        <v>6.5</v>
      </c>
      <c r="BF245" s="6">
        <v>16</v>
      </c>
      <c r="BG245" s="6">
        <v>9</v>
      </c>
    </row>
    <row r="246" spans="1:59" ht="15.75" x14ac:dyDescent="0.25">
      <c r="A246" s="3">
        <v>229</v>
      </c>
      <c r="B246" s="3" t="s">
        <v>926</v>
      </c>
      <c r="C246" s="3" t="s">
        <v>927</v>
      </c>
      <c r="D246" s="3" t="s">
        <v>1602</v>
      </c>
      <c r="E246" s="3" t="s">
        <v>928</v>
      </c>
      <c r="F246" s="3" t="s">
        <v>1603</v>
      </c>
      <c r="G246" s="3" t="s">
        <v>928</v>
      </c>
      <c r="H246" s="3" t="s">
        <v>929</v>
      </c>
      <c r="I246" s="3"/>
      <c r="J246" s="4" t="b">
        <v>1</v>
      </c>
      <c r="K246" s="3">
        <f t="shared" si="10"/>
        <v>40</v>
      </c>
      <c r="L246" s="3"/>
      <c r="M246" s="3"/>
      <c r="N246" s="3" t="b">
        <v>0</v>
      </c>
      <c r="O246" s="3"/>
      <c r="P246" s="3">
        <v>49.200000762939503</v>
      </c>
      <c r="Q246" s="3"/>
      <c r="R246" s="3" t="s">
        <v>1181</v>
      </c>
      <c r="S246" s="3" t="s">
        <v>264</v>
      </c>
      <c r="T246" s="3" t="s">
        <v>26</v>
      </c>
      <c r="U246" s="3" t="b">
        <v>0</v>
      </c>
      <c r="V246" s="3">
        <v>0.68999999761581399</v>
      </c>
      <c r="W246" s="3" t="e">
        <f t="shared" si="9"/>
        <v>#VALUE!</v>
      </c>
      <c r="X246" s="3">
        <v>9</v>
      </c>
      <c r="Y246" s="3">
        <v>0.79000002145767201</v>
      </c>
      <c r="Z246" s="3"/>
      <c r="AA246" s="3" t="str">
        <f t="shared" si="11"/>
        <v>Species</v>
      </c>
      <c r="AB246" s="3">
        <v>50</v>
      </c>
      <c r="AC246" s="3">
        <v>40</v>
      </c>
      <c r="AD246" s="3" t="s">
        <v>1208</v>
      </c>
      <c r="AE246" s="3">
        <v>50</v>
      </c>
      <c r="AF246" s="5">
        <v>40</v>
      </c>
      <c r="AG246" s="3" t="s">
        <v>1183</v>
      </c>
      <c r="AH246" s="3" t="s">
        <v>1183</v>
      </c>
      <c r="AI246" s="3" t="s">
        <v>1183</v>
      </c>
      <c r="AJ246" s="3" t="s">
        <v>1183</v>
      </c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6">
        <v>30</v>
      </c>
      <c r="BF246" s="6">
        <v>11</v>
      </c>
      <c r="BG246" s="6">
        <v>32</v>
      </c>
    </row>
    <row r="247" spans="1:59" ht="15.75" x14ac:dyDescent="0.25">
      <c r="A247" s="3">
        <v>231</v>
      </c>
      <c r="B247" s="3" t="s">
        <v>934</v>
      </c>
      <c r="C247" s="3" t="s">
        <v>42</v>
      </c>
      <c r="D247" s="3" t="s">
        <v>1604</v>
      </c>
      <c r="E247" s="3" t="s">
        <v>935</v>
      </c>
      <c r="F247" s="3" t="s">
        <v>1605</v>
      </c>
      <c r="G247" s="3" t="s">
        <v>936</v>
      </c>
      <c r="H247" s="3" t="s">
        <v>937</v>
      </c>
      <c r="I247" s="3"/>
      <c r="J247" s="4" t="b">
        <v>0</v>
      </c>
      <c r="K247" s="3">
        <f t="shared" si="10"/>
        <v>15</v>
      </c>
      <c r="L247" s="3"/>
      <c r="M247" s="3"/>
      <c r="N247" s="3" t="b">
        <v>0</v>
      </c>
      <c r="O247" s="3"/>
      <c r="P247" s="3">
        <v>40</v>
      </c>
      <c r="Q247" s="3"/>
      <c r="R247" s="3" t="s">
        <v>1181</v>
      </c>
      <c r="S247" s="3" t="s">
        <v>264</v>
      </c>
      <c r="T247" s="3" t="s">
        <v>26</v>
      </c>
      <c r="U247" s="3" t="b">
        <v>0</v>
      </c>
      <c r="V247" s="3">
        <v>0.80000001192092896</v>
      </c>
      <c r="W247" s="3" t="e">
        <f t="shared" si="9"/>
        <v>#VALUE!</v>
      </c>
      <c r="X247" s="3">
        <v>9</v>
      </c>
      <c r="Y247" s="3">
        <v>0.769999980926514</v>
      </c>
      <c r="Z247" s="3"/>
      <c r="AA247" s="3" t="str">
        <f t="shared" si="11"/>
        <v>Species</v>
      </c>
      <c r="AB247" s="3" t="s">
        <v>1183</v>
      </c>
      <c r="AC247" s="3" t="s">
        <v>1183</v>
      </c>
      <c r="AD247" s="3" t="s">
        <v>1183</v>
      </c>
      <c r="AE247" s="3" t="s">
        <v>1183</v>
      </c>
      <c r="AF247" s="5">
        <v>15</v>
      </c>
      <c r="AG247" s="3" t="s">
        <v>1183</v>
      </c>
      <c r="AH247" s="3" t="s">
        <v>1183</v>
      </c>
      <c r="AI247" s="3" t="s">
        <v>1183</v>
      </c>
      <c r="AJ247" s="3" t="s">
        <v>1183</v>
      </c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6">
        <v>16.399999999999999</v>
      </c>
      <c r="BF247" s="6">
        <v>16</v>
      </c>
      <c r="BG247" s="6">
        <v>30</v>
      </c>
    </row>
    <row r="248" spans="1:59" ht="15.75" x14ac:dyDescent="0.25">
      <c r="A248" s="3">
        <v>232</v>
      </c>
      <c r="B248" s="3" t="s">
        <v>940</v>
      </c>
      <c r="C248" s="3" t="s">
        <v>42</v>
      </c>
      <c r="D248" s="3" t="s">
        <v>1604</v>
      </c>
      <c r="E248" s="3" t="s">
        <v>935</v>
      </c>
      <c r="F248" s="3" t="s">
        <v>1606</v>
      </c>
      <c r="G248" s="3" t="s">
        <v>941</v>
      </c>
      <c r="H248" s="3" t="s">
        <v>942</v>
      </c>
      <c r="I248" s="3"/>
      <c r="J248" s="4" t="b">
        <v>1</v>
      </c>
      <c r="K248" s="3">
        <f t="shared" si="10"/>
        <v>30</v>
      </c>
      <c r="L248" s="3"/>
      <c r="M248" s="3"/>
      <c r="N248" s="3" t="b">
        <v>0</v>
      </c>
      <c r="O248" s="3"/>
      <c r="P248" s="3">
        <v>40</v>
      </c>
      <c r="Q248" s="3"/>
      <c r="R248" s="3" t="s">
        <v>1181</v>
      </c>
      <c r="S248" s="3" t="s">
        <v>264</v>
      </c>
      <c r="T248" s="3" t="s">
        <v>26</v>
      </c>
      <c r="U248" s="3" t="b">
        <v>0</v>
      </c>
      <c r="V248" s="3">
        <v>0.80000001192092896</v>
      </c>
      <c r="W248" s="3" t="e">
        <f t="shared" si="9"/>
        <v>#VALUE!</v>
      </c>
      <c r="X248" s="3">
        <v>9</v>
      </c>
      <c r="Y248" s="3">
        <v>0.769999980926514</v>
      </c>
      <c r="Z248" s="3"/>
      <c r="AA248" s="3" t="str">
        <f t="shared" si="11"/>
        <v>Species</v>
      </c>
      <c r="AB248" s="3" t="s">
        <v>1183</v>
      </c>
      <c r="AC248" s="3">
        <v>30</v>
      </c>
      <c r="AD248" s="3" t="s">
        <v>1208</v>
      </c>
      <c r="AE248" s="3" t="s">
        <v>1183</v>
      </c>
      <c r="AF248" s="5">
        <v>30</v>
      </c>
      <c r="AG248" s="3" t="s">
        <v>1183</v>
      </c>
      <c r="AH248" s="3" t="s">
        <v>1183</v>
      </c>
      <c r="AI248" s="3" t="s">
        <v>1183</v>
      </c>
      <c r="AJ248" s="3" t="s">
        <v>1183</v>
      </c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6">
        <v>10.39999990463255</v>
      </c>
      <c r="BF248" s="6">
        <v>86</v>
      </c>
      <c r="BG248" s="6">
        <v>43</v>
      </c>
    </row>
    <row r="249" spans="1:59" ht="15.75" x14ac:dyDescent="0.25">
      <c r="A249" s="3">
        <v>233</v>
      </c>
      <c r="B249" s="3" t="s">
        <v>943</v>
      </c>
      <c r="C249" s="3" t="s">
        <v>42</v>
      </c>
      <c r="D249" s="3" t="s">
        <v>1604</v>
      </c>
      <c r="E249" s="3" t="s">
        <v>935</v>
      </c>
      <c r="F249" s="3" t="s">
        <v>1607</v>
      </c>
      <c r="G249" s="3" t="s">
        <v>944</v>
      </c>
      <c r="H249" s="3" t="s">
        <v>1608</v>
      </c>
      <c r="I249" s="3"/>
      <c r="J249" s="4" t="s">
        <v>1188</v>
      </c>
      <c r="K249" s="3" t="str">
        <f t="shared" si="10"/>
        <v/>
      </c>
      <c r="L249" s="3"/>
      <c r="M249" s="3"/>
      <c r="N249" s="3" t="b">
        <v>0</v>
      </c>
      <c r="O249" s="3"/>
      <c r="P249" s="3"/>
      <c r="Q249" s="3"/>
      <c r="R249" s="3" t="s">
        <v>1181</v>
      </c>
      <c r="S249" s="3"/>
      <c r="T249" s="3"/>
      <c r="U249" s="3"/>
      <c r="V249" s="3"/>
      <c r="W249" s="3" t="str">
        <f t="shared" si="9"/>
        <v/>
      </c>
      <c r="X249" s="3">
        <v>9</v>
      </c>
      <c r="Y249" s="3">
        <v>0.769999980926514</v>
      </c>
      <c r="Z249" s="3"/>
      <c r="AA249" s="3" t="str">
        <f t="shared" si="11"/>
        <v>Genus</v>
      </c>
      <c r="AB249" s="3" t="s">
        <v>1183</v>
      </c>
      <c r="AC249" s="3" t="s">
        <v>1183</v>
      </c>
      <c r="AD249" s="3" t="s">
        <v>1183</v>
      </c>
      <c r="AE249" s="3" t="s">
        <v>1183</v>
      </c>
      <c r="AF249" s="5"/>
      <c r="AG249" s="3" t="s">
        <v>1183</v>
      </c>
      <c r="AH249" s="3" t="s">
        <v>1183</v>
      </c>
      <c r="AI249" s="3" t="s">
        <v>1183</v>
      </c>
      <c r="AJ249" s="3" t="s">
        <v>1183</v>
      </c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6">
        <v>10.089999961853037</v>
      </c>
      <c r="BF249" s="6">
        <v>100</v>
      </c>
      <c r="BG249" s="6">
        <v>22</v>
      </c>
    </row>
    <row r="250" spans="1:59" ht="15.75" x14ac:dyDescent="0.25">
      <c r="A250" s="3">
        <v>230</v>
      </c>
      <c r="B250" s="3" t="s">
        <v>938</v>
      </c>
      <c r="C250" s="3" t="s">
        <v>42</v>
      </c>
      <c r="D250" s="3" t="s">
        <v>1604</v>
      </c>
      <c r="E250" s="3" t="s">
        <v>935</v>
      </c>
      <c r="F250" s="3" t="s">
        <v>1609</v>
      </c>
      <c r="G250" s="3" t="s">
        <v>935</v>
      </c>
      <c r="H250" s="3" t="s">
        <v>939</v>
      </c>
      <c r="I250" s="3"/>
      <c r="J250" s="4" t="b">
        <v>1</v>
      </c>
      <c r="K250" s="3">
        <f t="shared" si="10"/>
        <v>10</v>
      </c>
      <c r="L250" s="3"/>
      <c r="M250" s="3"/>
      <c r="N250" s="3" t="b">
        <v>0</v>
      </c>
      <c r="O250" s="3"/>
      <c r="P250" s="3">
        <v>20</v>
      </c>
      <c r="Q250" s="3"/>
      <c r="R250" s="3" t="s">
        <v>1181</v>
      </c>
      <c r="S250" s="3" t="s">
        <v>264</v>
      </c>
      <c r="T250" s="3" t="s">
        <v>26</v>
      </c>
      <c r="U250" s="3" t="b">
        <v>0</v>
      </c>
      <c r="V250" s="3">
        <v>0.80000001192092896</v>
      </c>
      <c r="W250" s="3" t="e">
        <f t="shared" si="9"/>
        <v>#VALUE!</v>
      </c>
      <c r="X250" s="3">
        <v>9</v>
      </c>
      <c r="Y250" s="3">
        <v>0.769999980926514</v>
      </c>
      <c r="Z250" s="3"/>
      <c r="AA250" s="3" t="str">
        <f t="shared" si="11"/>
        <v>Species</v>
      </c>
      <c r="AB250" s="3" t="s">
        <v>1183</v>
      </c>
      <c r="AC250" s="3" t="s">
        <v>1183</v>
      </c>
      <c r="AD250" s="3" t="s">
        <v>1183</v>
      </c>
      <c r="AE250" s="3" t="s">
        <v>1183</v>
      </c>
      <c r="AF250" s="5">
        <v>10</v>
      </c>
      <c r="AG250" s="3" t="s">
        <v>1183</v>
      </c>
      <c r="AH250" s="3" t="s">
        <v>1183</v>
      </c>
      <c r="AI250" s="3" t="s">
        <v>1183</v>
      </c>
      <c r="AJ250" s="3" t="s">
        <v>1183</v>
      </c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6">
        <v>7</v>
      </c>
      <c r="BF250" s="6">
        <v>3344</v>
      </c>
      <c r="BG250" s="6">
        <v>70</v>
      </c>
    </row>
    <row r="251" spans="1:59" ht="15.75" x14ac:dyDescent="0.25">
      <c r="A251" s="3">
        <v>234</v>
      </c>
      <c r="B251" s="3" t="s">
        <v>946</v>
      </c>
      <c r="C251" s="3" t="s">
        <v>947</v>
      </c>
      <c r="D251" s="3" t="s">
        <v>1610</v>
      </c>
      <c r="E251" s="3" t="s">
        <v>948</v>
      </c>
      <c r="F251" s="3" t="s">
        <v>1611</v>
      </c>
      <c r="G251" s="3" t="s">
        <v>949</v>
      </c>
      <c r="H251" s="3" t="s">
        <v>950</v>
      </c>
      <c r="I251" s="3"/>
      <c r="J251" s="4" t="b">
        <v>0</v>
      </c>
      <c r="K251" s="3" t="str">
        <f t="shared" si="10"/>
        <v/>
      </c>
      <c r="L251" s="3"/>
      <c r="M251" s="3"/>
      <c r="N251" s="3" t="b">
        <v>0</v>
      </c>
      <c r="O251" s="3"/>
      <c r="P251" s="3">
        <v>40</v>
      </c>
      <c r="Q251" s="3"/>
      <c r="R251" s="3" t="s">
        <v>1181</v>
      </c>
      <c r="S251" s="3" t="s">
        <v>264</v>
      </c>
      <c r="T251" s="3" t="s">
        <v>26</v>
      </c>
      <c r="U251" s="3" t="b">
        <v>0</v>
      </c>
      <c r="V251" s="3">
        <v>0.5</v>
      </c>
      <c r="W251" s="3" t="e">
        <f t="shared" si="9"/>
        <v>#VALUE!</v>
      </c>
      <c r="X251" s="3">
        <v>9</v>
      </c>
      <c r="Y251" s="3">
        <v>0.79000002145767201</v>
      </c>
      <c r="Z251" s="3"/>
      <c r="AA251" s="3" t="str">
        <f t="shared" si="11"/>
        <v>Species</v>
      </c>
      <c r="AB251" s="3" t="s">
        <v>1183</v>
      </c>
      <c r="AC251" s="3" t="s">
        <v>1183</v>
      </c>
      <c r="AD251" s="3" t="s">
        <v>1183</v>
      </c>
      <c r="AE251" s="3" t="s">
        <v>1183</v>
      </c>
      <c r="AF251" s="5" t="s">
        <v>1183</v>
      </c>
      <c r="AG251" s="3" t="s">
        <v>1183</v>
      </c>
      <c r="AH251" s="3" t="s">
        <v>1183</v>
      </c>
      <c r="AI251" s="3" t="s">
        <v>1183</v>
      </c>
      <c r="AJ251" s="3" t="s">
        <v>1183</v>
      </c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6" t="e">
        <v>#NUM!</v>
      </c>
      <c r="BF251" s="6">
        <v>0</v>
      </c>
      <c r="BG251" s="6" t="e">
        <v>#NUM!</v>
      </c>
    </row>
    <row r="252" spans="1:59" ht="15.75" x14ac:dyDescent="0.25">
      <c r="A252" s="3">
        <v>235</v>
      </c>
      <c r="B252" s="3" t="s">
        <v>951</v>
      </c>
      <c r="C252" s="3" t="s">
        <v>952</v>
      </c>
      <c r="D252" s="3" t="s">
        <v>1612</v>
      </c>
      <c r="E252" s="3" t="s">
        <v>953</v>
      </c>
      <c r="F252" s="3" t="s">
        <v>1613</v>
      </c>
      <c r="G252" s="3" t="s">
        <v>953</v>
      </c>
      <c r="H252" s="3" t="s">
        <v>954</v>
      </c>
      <c r="I252" s="3"/>
      <c r="J252" s="4" t="b">
        <v>0</v>
      </c>
      <c r="K252" s="3">
        <f t="shared" si="10"/>
        <v>15</v>
      </c>
      <c r="L252" s="3"/>
      <c r="M252" s="3"/>
      <c r="N252" s="3" t="b">
        <v>0</v>
      </c>
      <c r="O252" s="3"/>
      <c r="P252" s="3">
        <v>40</v>
      </c>
      <c r="Q252" s="3"/>
      <c r="R252" s="3" t="s">
        <v>1181</v>
      </c>
      <c r="S252" s="3" t="s">
        <v>955</v>
      </c>
      <c r="T252" s="3" t="s">
        <v>26</v>
      </c>
      <c r="U252" s="3" t="b">
        <v>0</v>
      </c>
      <c r="V252" s="3">
        <v>0.60000002384185802</v>
      </c>
      <c r="W252" s="3" t="e">
        <f t="shared" si="9"/>
        <v>#VALUE!</v>
      </c>
      <c r="X252" s="3">
        <v>9</v>
      </c>
      <c r="Y252" s="3">
        <v>0.79000002145767201</v>
      </c>
      <c r="Z252" s="3"/>
      <c r="AA252" s="3" t="str">
        <f t="shared" si="11"/>
        <v>Species</v>
      </c>
      <c r="AB252" s="3" t="s">
        <v>1183</v>
      </c>
      <c r="AC252" s="3" t="s">
        <v>1183</v>
      </c>
      <c r="AD252" s="3" t="s">
        <v>1183</v>
      </c>
      <c r="AE252" s="3" t="s">
        <v>1183</v>
      </c>
      <c r="AF252" s="5">
        <v>15</v>
      </c>
      <c r="AG252" s="3" t="s">
        <v>1183</v>
      </c>
      <c r="AH252" s="3" t="s">
        <v>1183</v>
      </c>
      <c r="AI252" s="3" t="s">
        <v>1183</v>
      </c>
      <c r="AJ252" s="3" t="s">
        <v>1183</v>
      </c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6">
        <v>12.899999999999999</v>
      </c>
      <c r="BF252" s="6">
        <v>42</v>
      </c>
      <c r="BG252" s="6">
        <v>34</v>
      </c>
    </row>
    <row r="253" spans="1:59" ht="15.75" x14ac:dyDescent="0.25">
      <c r="A253" s="3">
        <v>236</v>
      </c>
      <c r="B253" s="3" t="s">
        <v>1614</v>
      </c>
      <c r="C253" s="3" t="s">
        <v>956</v>
      </c>
      <c r="D253" s="3" t="s">
        <v>956</v>
      </c>
      <c r="E253" s="3" t="s">
        <v>956</v>
      </c>
      <c r="F253" s="3" t="s">
        <v>956</v>
      </c>
      <c r="G253" s="3" t="s">
        <v>956</v>
      </c>
      <c r="H253" s="3" t="s">
        <v>956</v>
      </c>
      <c r="I253" s="3"/>
      <c r="J253" s="4" t="s">
        <v>1188</v>
      </c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 t="str">
        <f t="shared" si="9"/>
        <v/>
      </c>
      <c r="X253" s="3"/>
      <c r="Y253" s="3"/>
      <c r="Z253" s="3"/>
      <c r="AA253" s="3" t="s">
        <v>1329</v>
      </c>
      <c r="AB253" s="3"/>
      <c r="AC253" s="3" t="s">
        <v>1183</v>
      </c>
      <c r="AD253" s="3" t="s">
        <v>1183</v>
      </c>
      <c r="AE253" s="3" t="s">
        <v>1183</v>
      </c>
      <c r="AF253" s="5" t="s">
        <v>1183</v>
      </c>
      <c r="AG253" s="3" t="s">
        <v>1183</v>
      </c>
      <c r="AH253" s="3" t="s">
        <v>1183</v>
      </c>
      <c r="AI253" s="3" t="s">
        <v>1183</v>
      </c>
      <c r="AJ253" s="3" t="s">
        <v>1183</v>
      </c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6"/>
      <c r="BF253" s="6"/>
      <c r="BG253" s="6"/>
    </row>
    <row r="254" spans="1:59" ht="15.75" x14ac:dyDescent="0.25">
      <c r="A254" s="3">
        <v>237</v>
      </c>
      <c r="B254" s="3" t="s">
        <v>982</v>
      </c>
      <c r="C254" s="3" t="s">
        <v>321</v>
      </c>
      <c r="D254" s="3" t="s">
        <v>1615</v>
      </c>
      <c r="E254" s="3" t="s">
        <v>971</v>
      </c>
      <c r="F254" s="3" t="s">
        <v>1616</v>
      </c>
      <c r="G254" s="3" t="s">
        <v>983</v>
      </c>
      <c r="H254" s="3" t="s">
        <v>984</v>
      </c>
      <c r="I254" s="3"/>
      <c r="J254" s="4" t="b">
        <v>1</v>
      </c>
      <c r="K254" s="3">
        <f t="shared" si="10"/>
        <v>30</v>
      </c>
      <c r="L254" s="3"/>
      <c r="M254" s="3"/>
      <c r="N254" s="3" t="b">
        <v>1</v>
      </c>
      <c r="O254" s="3"/>
      <c r="P254" s="3">
        <v>30.299999237060501</v>
      </c>
      <c r="Q254" s="3"/>
      <c r="R254" s="3" t="s">
        <v>1276</v>
      </c>
      <c r="S254" s="3" t="s">
        <v>985</v>
      </c>
      <c r="T254" s="3" t="s">
        <v>26</v>
      </c>
      <c r="U254" s="3" t="b">
        <v>0</v>
      </c>
      <c r="V254" s="3">
        <v>0.57999998331069902</v>
      </c>
      <c r="W254" s="3" t="e">
        <f t="shared" si="9"/>
        <v>#VALUE!</v>
      </c>
      <c r="X254" s="3">
        <v>9</v>
      </c>
      <c r="Y254" s="3">
        <v>0.79000002145767201</v>
      </c>
      <c r="Z254" s="3"/>
      <c r="AA254" s="3" t="str">
        <f t="shared" si="11"/>
        <v>Species</v>
      </c>
      <c r="AB254" s="3">
        <v>60</v>
      </c>
      <c r="AC254" s="3">
        <v>30</v>
      </c>
      <c r="AD254" s="3" t="s">
        <v>1208</v>
      </c>
      <c r="AE254" s="3">
        <v>60</v>
      </c>
      <c r="AF254" s="5">
        <v>30</v>
      </c>
      <c r="AG254" s="3" t="s">
        <v>1183</v>
      </c>
      <c r="AH254" s="3" t="s">
        <v>1183</v>
      </c>
      <c r="AI254" s="3" t="s">
        <v>1183</v>
      </c>
      <c r="AJ254" s="3" t="s">
        <v>1183</v>
      </c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6">
        <v>43</v>
      </c>
      <c r="BF254" s="6">
        <v>162</v>
      </c>
      <c r="BG254" s="6">
        <v>62</v>
      </c>
    </row>
    <row r="255" spans="1:59" ht="15.75" x14ac:dyDescent="0.25">
      <c r="A255" s="3">
        <v>238</v>
      </c>
      <c r="B255" s="3" t="s">
        <v>989</v>
      </c>
      <c r="C255" s="3" t="s">
        <v>321</v>
      </c>
      <c r="D255" s="3" t="s">
        <v>1615</v>
      </c>
      <c r="E255" s="3" t="s">
        <v>971</v>
      </c>
      <c r="F255" s="3" t="s">
        <v>1617</v>
      </c>
      <c r="G255" s="3" t="s">
        <v>990</v>
      </c>
      <c r="H255" s="3" t="s">
        <v>991</v>
      </c>
      <c r="I255" s="3"/>
      <c r="J255" s="4" t="b">
        <v>0</v>
      </c>
      <c r="K255" s="3">
        <f t="shared" si="10"/>
        <v>60</v>
      </c>
      <c r="L255" s="3"/>
      <c r="M255" s="3"/>
      <c r="N255" s="3" t="b">
        <v>1</v>
      </c>
      <c r="O255" s="3"/>
      <c r="P255" s="3">
        <v>40.799999237060497</v>
      </c>
      <c r="Q255" s="3" t="s">
        <v>1411</v>
      </c>
      <c r="R255" s="3" t="s">
        <v>1276</v>
      </c>
      <c r="S255" s="3" t="s">
        <v>992</v>
      </c>
      <c r="T255" s="3" t="s">
        <v>26</v>
      </c>
      <c r="U255" s="3" t="b">
        <v>0</v>
      </c>
      <c r="V255" s="3">
        <v>0.769999980926514</v>
      </c>
      <c r="W255" s="3" t="e">
        <f t="shared" si="9"/>
        <v>#VALUE!</v>
      </c>
      <c r="X255" s="3">
        <v>9</v>
      </c>
      <c r="Y255" s="3">
        <v>0.79000002145767201</v>
      </c>
      <c r="Z255" s="3"/>
      <c r="AA255" s="3" t="str">
        <f t="shared" si="11"/>
        <v>Species</v>
      </c>
      <c r="AB255" s="3">
        <v>90</v>
      </c>
      <c r="AC255" s="3" t="s">
        <v>1183</v>
      </c>
      <c r="AD255" s="3" t="s">
        <v>1183</v>
      </c>
      <c r="AE255" s="3">
        <v>90</v>
      </c>
      <c r="AF255" s="5">
        <v>60</v>
      </c>
      <c r="AG255" s="3" t="s">
        <v>1618</v>
      </c>
      <c r="AH255" s="3">
        <v>30</v>
      </c>
      <c r="AI255" s="3">
        <v>100</v>
      </c>
      <c r="AJ255" s="3">
        <v>20</v>
      </c>
      <c r="AK255" s="3">
        <v>30</v>
      </c>
      <c r="AL255" s="3"/>
      <c r="AM255" s="3"/>
      <c r="AN255" s="3"/>
      <c r="AO255" s="3"/>
      <c r="AP255" s="3"/>
      <c r="AQ255" s="3"/>
      <c r="AR255" s="3"/>
      <c r="AS255" s="3">
        <v>90</v>
      </c>
      <c r="AT255" s="3"/>
      <c r="AU255" s="3">
        <v>30</v>
      </c>
      <c r="AV255" s="3"/>
      <c r="AW255" s="3"/>
      <c r="AX255" s="3"/>
      <c r="AY255" s="3"/>
      <c r="AZ255" s="3"/>
      <c r="BA255" s="3"/>
      <c r="BB255" s="3"/>
      <c r="BC255" s="3"/>
      <c r="BD255" s="3"/>
      <c r="BE255" s="6">
        <v>40</v>
      </c>
      <c r="BF255" s="6">
        <v>9843</v>
      </c>
      <c r="BG255" s="6">
        <v>105</v>
      </c>
    </row>
    <row r="256" spans="1:59" ht="15.75" x14ac:dyDescent="0.25">
      <c r="A256" s="3">
        <v>239</v>
      </c>
      <c r="B256" s="3" t="s">
        <v>975</v>
      </c>
      <c r="C256" s="3" t="s">
        <v>321</v>
      </c>
      <c r="D256" s="3" t="s">
        <v>1615</v>
      </c>
      <c r="E256" s="3" t="s">
        <v>971</v>
      </c>
      <c r="F256" s="3" t="s">
        <v>1619</v>
      </c>
      <c r="G256" s="3" t="s">
        <v>976</v>
      </c>
      <c r="H256" s="3" t="s">
        <v>977</v>
      </c>
      <c r="I256" s="3"/>
      <c r="J256" s="4" t="b">
        <v>0</v>
      </c>
      <c r="K256" s="3">
        <f t="shared" si="10"/>
        <v>50</v>
      </c>
      <c r="L256" s="3"/>
      <c r="M256" s="3"/>
      <c r="N256" s="3" t="b">
        <v>0</v>
      </c>
      <c r="O256" s="3"/>
      <c r="P256" s="3">
        <v>40</v>
      </c>
      <c r="Q256" s="3" t="s">
        <v>1620</v>
      </c>
      <c r="R256" s="3" t="s">
        <v>1276</v>
      </c>
      <c r="S256" s="3" t="s">
        <v>1621</v>
      </c>
      <c r="T256" s="3" t="s">
        <v>26</v>
      </c>
      <c r="U256" s="3" t="b">
        <v>0</v>
      </c>
      <c r="V256" s="3">
        <v>0.75</v>
      </c>
      <c r="W256" s="3" t="e">
        <f t="shared" si="9"/>
        <v>#VALUE!</v>
      </c>
      <c r="X256" s="3">
        <v>9</v>
      </c>
      <c r="Y256" s="3">
        <v>0.79000002145767201</v>
      </c>
      <c r="Z256" s="3"/>
      <c r="AA256" s="3" t="str">
        <f t="shared" si="11"/>
        <v>Species</v>
      </c>
      <c r="AB256" s="3">
        <v>90</v>
      </c>
      <c r="AC256" s="3" t="s">
        <v>1183</v>
      </c>
      <c r="AD256" s="3" t="s">
        <v>1183</v>
      </c>
      <c r="AE256" s="3">
        <v>90</v>
      </c>
      <c r="AF256" s="5">
        <v>50</v>
      </c>
      <c r="AG256" s="3" t="s">
        <v>1183</v>
      </c>
      <c r="AH256" s="3" t="s">
        <v>1183</v>
      </c>
      <c r="AI256" s="3" t="s">
        <v>1183</v>
      </c>
      <c r="AJ256" s="3" t="s">
        <v>1183</v>
      </c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6">
        <v>50</v>
      </c>
      <c r="BF256" s="6">
        <v>1</v>
      </c>
      <c r="BG256" s="6">
        <v>50</v>
      </c>
    </row>
    <row r="257" spans="1:59" ht="15.75" x14ac:dyDescent="0.25">
      <c r="A257" s="3">
        <v>240</v>
      </c>
      <c r="B257" s="3" t="s">
        <v>970</v>
      </c>
      <c r="C257" s="3" t="s">
        <v>321</v>
      </c>
      <c r="D257" s="3" t="s">
        <v>1615</v>
      </c>
      <c r="E257" s="3" t="s">
        <v>971</v>
      </c>
      <c r="F257" s="3" t="s">
        <v>1622</v>
      </c>
      <c r="G257" s="3" t="s">
        <v>972</v>
      </c>
      <c r="H257" s="3" t="s">
        <v>973</v>
      </c>
      <c r="I257" s="3"/>
      <c r="J257" s="4" t="b">
        <v>0</v>
      </c>
      <c r="K257" s="3">
        <f t="shared" si="10"/>
        <v>70</v>
      </c>
      <c r="L257" s="3"/>
      <c r="M257" s="3"/>
      <c r="N257" s="3" t="b">
        <v>0</v>
      </c>
      <c r="O257" s="3"/>
      <c r="P257" s="3">
        <v>67.5</v>
      </c>
      <c r="Q257" s="3"/>
      <c r="R257" s="3" t="s">
        <v>1276</v>
      </c>
      <c r="S257" s="3" t="s">
        <v>974</v>
      </c>
      <c r="T257" s="3" t="s">
        <v>26</v>
      </c>
      <c r="U257" s="3" t="b">
        <v>0</v>
      </c>
      <c r="V257" s="3">
        <v>0.70999997854232799</v>
      </c>
      <c r="W257" s="3" t="e">
        <f t="shared" si="9"/>
        <v>#VALUE!</v>
      </c>
      <c r="X257" s="3">
        <v>9</v>
      </c>
      <c r="Y257" s="3">
        <v>0.79000002145767201</v>
      </c>
      <c r="Z257" s="3"/>
      <c r="AA257" s="3" t="str">
        <f t="shared" si="11"/>
        <v>Species</v>
      </c>
      <c r="AB257" s="3">
        <v>130</v>
      </c>
      <c r="AC257" s="3">
        <v>100</v>
      </c>
      <c r="AD257" s="3" t="s">
        <v>1208</v>
      </c>
      <c r="AE257" s="3">
        <v>130</v>
      </c>
      <c r="AF257" s="5">
        <v>70</v>
      </c>
      <c r="AG257" s="3" t="s">
        <v>1623</v>
      </c>
      <c r="AH257" s="3">
        <v>30</v>
      </c>
      <c r="AI257" s="3">
        <v>100</v>
      </c>
      <c r="AJ257" s="3">
        <v>20</v>
      </c>
      <c r="AK257" s="3">
        <v>30</v>
      </c>
      <c r="AL257" s="3"/>
      <c r="AM257" s="3"/>
      <c r="AN257" s="3"/>
      <c r="AO257" s="3"/>
      <c r="AP257" s="3"/>
      <c r="AQ257" s="3"/>
      <c r="AR257" s="3"/>
      <c r="AS257" s="3">
        <v>130</v>
      </c>
      <c r="AT257" s="3"/>
      <c r="AU257" s="3">
        <v>40</v>
      </c>
      <c r="AV257" s="3"/>
      <c r="AW257" s="3"/>
      <c r="AX257" s="3"/>
      <c r="AY257" s="3"/>
      <c r="AZ257" s="3"/>
      <c r="BA257" s="3"/>
      <c r="BB257" s="3"/>
      <c r="BC257" s="3"/>
      <c r="BD257" s="3"/>
      <c r="BE257" s="6">
        <v>53</v>
      </c>
      <c r="BF257" s="6">
        <v>2460</v>
      </c>
      <c r="BG257" s="6">
        <v>112</v>
      </c>
    </row>
    <row r="258" spans="1:59" ht="15.75" x14ac:dyDescent="0.25">
      <c r="A258" s="3">
        <v>241</v>
      </c>
      <c r="B258" s="3" t="s">
        <v>993</v>
      </c>
      <c r="C258" s="3" t="s">
        <v>321</v>
      </c>
      <c r="D258" s="3" t="s">
        <v>1615</v>
      </c>
      <c r="E258" s="3" t="s">
        <v>971</v>
      </c>
      <c r="F258" s="3" t="s">
        <v>1624</v>
      </c>
      <c r="G258" s="3" t="s">
        <v>994</v>
      </c>
      <c r="H258" s="3" t="s">
        <v>995</v>
      </c>
      <c r="I258" s="3"/>
      <c r="J258" s="4" t="b">
        <v>1</v>
      </c>
      <c r="K258" s="3">
        <f t="shared" si="10"/>
        <v>60</v>
      </c>
      <c r="L258" s="3"/>
      <c r="M258" s="3"/>
      <c r="N258" s="3" t="b">
        <v>0</v>
      </c>
      <c r="O258" s="3"/>
      <c r="P258" s="3">
        <v>42.900001525878899</v>
      </c>
      <c r="Q258" s="3" t="s">
        <v>1620</v>
      </c>
      <c r="R258" s="3" t="s">
        <v>1276</v>
      </c>
      <c r="S258" s="3"/>
      <c r="T258" s="3" t="s">
        <v>26</v>
      </c>
      <c r="U258" s="3" t="b">
        <v>0</v>
      </c>
      <c r="V258" s="3">
        <v>0.75</v>
      </c>
      <c r="W258" s="3" t="str">
        <f t="shared" ref="W258:W300" si="12">IF(OR(H258="",S258=""),"",H258/S258)</f>
        <v/>
      </c>
      <c r="X258" s="3">
        <v>9</v>
      </c>
      <c r="Y258" s="3">
        <v>0.79000002145767201</v>
      </c>
      <c r="Z258" s="3"/>
      <c r="AA258" s="3" t="str">
        <f t="shared" si="11"/>
        <v>Species</v>
      </c>
      <c r="AB258" s="3">
        <v>60</v>
      </c>
      <c r="AC258" s="3" t="s">
        <v>1183</v>
      </c>
      <c r="AD258" s="3" t="s">
        <v>1183</v>
      </c>
      <c r="AE258" s="3">
        <v>60</v>
      </c>
      <c r="AF258" s="5">
        <v>60</v>
      </c>
      <c r="AG258" s="3" t="s">
        <v>1183</v>
      </c>
      <c r="AH258" s="3" t="s">
        <v>1183</v>
      </c>
      <c r="AI258" s="3" t="s">
        <v>1183</v>
      </c>
      <c r="AJ258" s="3" t="s">
        <v>1183</v>
      </c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6">
        <v>41</v>
      </c>
      <c r="BF258" s="6">
        <v>86</v>
      </c>
      <c r="BG258" s="6">
        <v>80</v>
      </c>
    </row>
    <row r="259" spans="1:59" ht="15.75" x14ac:dyDescent="0.25">
      <c r="A259" s="3">
        <v>242</v>
      </c>
      <c r="B259" s="3" t="s">
        <v>986</v>
      </c>
      <c r="C259" s="3" t="s">
        <v>321</v>
      </c>
      <c r="D259" s="3" t="s">
        <v>1615</v>
      </c>
      <c r="E259" s="3" t="s">
        <v>971</v>
      </c>
      <c r="F259" s="3" t="s">
        <v>1625</v>
      </c>
      <c r="G259" s="3" t="s">
        <v>987</v>
      </c>
      <c r="H259" s="3" t="s">
        <v>988</v>
      </c>
      <c r="I259" s="3"/>
      <c r="J259" s="4" t="b">
        <v>0</v>
      </c>
      <c r="K259" s="3">
        <f t="shared" ref="K259:K300" si="13">IF(AF259="","",AF259)</f>
        <v>50</v>
      </c>
      <c r="L259" s="3"/>
      <c r="M259" s="3"/>
      <c r="N259" s="3" t="b">
        <v>0</v>
      </c>
      <c r="O259" s="3"/>
      <c r="P259" s="3">
        <v>40</v>
      </c>
      <c r="Q259" s="3"/>
      <c r="R259" s="3" t="s">
        <v>1276</v>
      </c>
      <c r="S259" s="3"/>
      <c r="T259" s="3" t="s">
        <v>26</v>
      </c>
      <c r="U259" s="3" t="b">
        <v>0</v>
      </c>
      <c r="V259" s="3">
        <v>0.77999997138977095</v>
      </c>
      <c r="W259" s="3" t="str">
        <f t="shared" si="12"/>
        <v/>
      </c>
      <c r="X259" s="3">
        <v>9</v>
      </c>
      <c r="Y259" s="3">
        <v>0.79000002145767201</v>
      </c>
      <c r="Z259" s="3"/>
      <c r="AA259" s="3" t="str">
        <f t="shared" ref="AA259:AA300" si="14">IF(RIGHT(B259,3)="spp","Genus","Species")</f>
        <v>Species</v>
      </c>
      <c r="AB259" s="3" t="s">
        <v>1183</v>
      </c>
      <c r="AC259" s="3" t="s">
        <v>1183</v>
      </c>
      <c r="AD259" s="3" t="s">
        <v>1183</v>
      </c>
      <c r="AE259" s="3" t="s">
        <v>1183</v>
      </c>
      <c r="AF259" s="5">
        <v>50</v>
      </c>
      <c r="AG259" s="3" t="s">
        <v>1183</v>
      </c>
      <c r="AH259" s="3" t="s">
        <v>1183</v>
      </c>
      <c r="AI259" s="3" t="s">
        <v>1183</v>
      </c>
      <c r="AJ259" s="3" t="s">
        <v>1183</v>
      </c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6">
        <v>22</v>
      </c>
      <c r="BF259" s="6">
        <v>287</v>
      </c>
      <c r="BG259" s="6">
        <v>52</v>
      </c>
    </row>
    <row r="260" spans="1:59" ht="15.75" x14ac:dyDescent="0.25">
      <c r="A260" s="3">
        <v>243</v>
      </c>
      <c r="B260" s="3" t="s">
        <v>996</v>
      </c>
      <c r="C260" s="3" t="s">
        <v>321</v>
      </c>
      <c r="D260" s="3" t="s">
        <v>1615</v>
      </c>
      <c r="E260" s="3" t="s">
        <v>971</v>
      </c>
      <c r="F260" s="3" t="s">
        <v>1626</v>
      </c>
      <c r="G260" s="3" t="s">
        <v>997</v>
      </c>
      <c r="H260" s="3" t="s">
        <v>1627</v>
      </c>
      <c r="I260" s="3"/>
      <c r="J260" s="4" t="s">
        <v>1188</v>
      </c>
      <c r="K260" s="3" t="str">
        <f t="shared" si="13"/>
        <v/>
      </c>
      <c r="L260" s="3"/>
      <c r="M260" s="3"/>
      <c r="N260" s="3" t="b">
        <v>0</v>
      </c>
      <c r="O260" s="3"/>
      <c r="P260" s="3"/>
      <c r="Q260" s="3"/>
      <c r="R260" s="3" t="s">
        <v>1276</v>
      </c>
      <c r="S260" s="3"/>
      <c r="T260" s="3"/>
      <c r="U260" s="3"/>
      <c r="V260" s="3"/>
      <c r="W260" s="3" t="str">
        <f t="shared" si="12"/>
        <v/>
      </c>
      <c r="X260" s="3">
        <v>9</v>
      </c>
      <c r="Y260" s="3">
        <v>0.79000002145767201</v>
      </c>
      <c r="Z260" s="3"/>
      <c r="AA260" s="3" t="str">
        <f t="shared" si="14"/>
        <v>Genus</v>
      </c>
      <c r="AB260" s="3" t="s">
        <v>1183</v>
      </c>
      <c r="AC260" s="3" t="s">
        <v>1183</v>
      </c>
      <c r="AD260" s="3" t="s">
        <v>1183</v>
      </c>
      <c r="AE260" s="3" t="s">
        <v>1183</v>
      </c>
      <c r="AF260" s="5"/>
      <c r="AG260" s="3" t="s">
        <v>1183</v>
      </c>
      <c r="AH260" s="3" t="s">
        <v>1183</v>
      </c>
      <c r="AI260" s="3" t="s">
        <v>1183</v>
      </c>
      <c r="AJ260" s="3" t="s">
        <v>1183</v>
      </c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6">
        <v>40</v>
      </c>
      <c r="BF260" s="6">
        <v>351</v>
      </c>
      <c r="BG260" s="6">
        <v>85.5</v>
      </c>
    </row>
    <row r="261" spans="1:59" ht="15.75" x14ac:dyDescent="0.25">
      <c r="A261" s="3">
        <v>244</v>
      </c>
      <c r="B261" s="3" t="s">
        <v>979</v>
      </c>
      <c r="C261" s="3" t="s">
        <v>321</v>
      </c>
      <c r="D261" s="3" t="s">
        <v>1615</v>
      </c>
      <c r="E261" s="3" t="s">
        <v>971</v>
      </c>
      <c r="F261" s="3" t="s">
        <v>1628</v>
      </c>
      <c r="G261" s="3" t="s">
        <v>980</v>
      </c>
      <c r="H261" s="3" t="s">
        <v>981</v>
      </c>
      <c r="I261" s="3"/>
      <c r="J261" s="4" t="b">
        <v>1</v>
      </c>
      <c r="K261" s="3">
        <f t="shared" si="13"/>
        <v>60</v>
      </c>
      <c r="L261" s="3"/>
      <c r="M261" s="3"/>
      <c r="N261" s="3" t="b">
        <v>1</v>
      </c>
      <c r="O261" s="3"/>
      <c r="P261" s="3">
        <v>38.700000762939503</v>
      </c>
      <c r="Q261" s="3" t="s">
        <v>1213</v>
      </c>
      <c r="R261" s="3" t="s">
        <v>1276</v>
      </c>
      <c r="S261" s="3" t="s">
        <v>122</v>
      </c>
      <c r="T261" s="3" t="s">
        <v>26</v>
      </c>
      <c r="U261" s="3" t="b">
        <v>0</v>
      </c>
      <c r="V261" s="3">
        <v>0.72000002861022905</v>
      </c>
      <c r="W261" s="3" t="e">
        <f t="shared" si="12"/>
        <v>#VALUE!</v>
      </c>
      <c r="X261" s="3">
        <v>9</v>
      </c>
      <c r="Y261" s="3">
        <v>0.79000002145767201</v>
      </c>
      <c r="Z261" s="3"/>
      <c r="AA261" s="3" t="str">
        <f t="shared" si="14"/>
        <v>Species</v>
      </c>
      <c r="AB261" s="3">
        <v>60</v>
      </c>
      <c r="AC261" s="3" t="s">
        <v>1183</v>
      </c>
      <c r="AD261" s="3" t="s">
        <v>1183</v>
      </c>
      <c r="AE261" s="3">
        <v>60</v>
      </c>
      <c r="AF261" s="5">
        <v>60</v>
      </c>
      <c r="AG261" s="3" t="s">
        <v>1629</v>
      </c>
      <c r="AH261" s="3">
        <v>50</v>
      </c>
      <c r="AI261" s="3">
        <v>100</v>
      </c>
      <c r="AJ261" s="3">
        <v>24</v>
      </c>
      <c r="AK261" s="3">
        <v>40</v>
      </c>
      <c r="AL261" s="3"/>
      <c r="AM261" s="3"/>
      <c r="AN261" s="3"/>
      <c r="AO261" s="3"/>
      <c r="AP261" s="3"/>
      <c r="AQ261" s="3"/>
      <c r="AR261" s="3"/>
      <c r="AS261" s="3">
        <v>60</v>
      </c>
      <c r="AT261" s="3"/>
      <c r="AU261" s="3">
        <v>25</v>
      </c>
      <c r="AV261" s="3"/>
      <c r="AW261" s="3"/>
      <c r="AX261" s="3"/>
      <c r="AY261" s="3"/>
      <c r="AZ261" s="3"/>
      <c r="BA261" s="3"/>
      <c r="BB261" s="3"/>
      <c r="BC261" s="3"/>
      <c r="BD261" s="3"/>
      <c r="BE261" s="6">
        <v>42</v>
      </c>
      <c r="BF261" s="6">
        <v>8573</v>
      </c>
      <c r="BG261" s="6">
        <v>115</v>
      </c>
    </row>
    <row r="262" spans="1:59" ht="15.75" x14ac:dyDescent="0.25">
      <c r="A262" s="3">
        <v>283</v>
      </c>
      <c r="B262" s="3" t="s">
        <v>714</v>
      </c>
      <c r="C262" s="3" t="s">
        <v>40</v>
      </c>
      <c r="D262" s="3" t="s">
        <v>40</v>
      </c>
      <c r="E262" s="3" t="s">
        <v>40</v>
      </c>
      <c r="F262" s="3" t="s">
        <v>40</v>
      </c>
      <c r="G262" s="3" t="s">
        <v>714</v>
      </c>
      <c r="H262" s="3" t="s">
        <v>714</v>
      </c>
      <c r="I262" s="3"/>
      <c r="J262" s="4" t="s">
        <v>1188</v>
      </c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 t="str">
        <f t="shared" si="12"/>
        <v/>
      </c>
      <c r="X262" s="3"/>
      <c r="Y262" s="3"/>
      <c r="Z262" s="3"/>
      <c r="AA262" s="3" t="s">
        <v>1329</v>
      </c>
      <c r="AB262" s="3"/>
      <c r="AC262" s="3" t="s">
        <v>1183</v>
      </c>
      <c r="AD262" s="3" t="s">
        <v>1183</v>
      </c>
      <c r="AE262" s="3" t="s">
        <v>1183</v>
      </c>
      <c r="AF262" s="5"/>
      <c r="AG262" s="3" t="s">
        <v>1183</v>
      </c>
      <c r="AH262" s="3" t="s">
        <v>1183</v>
      </c>
      <c r="AI262" s="3" t="s">
        <v>1183</v>
      </c>
      <c r="AJ262" s="3" t="s">
        <v>1183</v>
      </c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6"/>
      <c r="BF262" s="6"/>
      <c r="BG262" s="6"/>
    </row>
    <row r="263" spans="1:59" ht="15.75" x14ac:dyDescent="0.25">
      <c r="A263" s="3">
        <v>246</v>
      </c>
      <c r="B263" s="3" t="s">
        <v>1003</v>
      </c>
      <c r="C263" s="3" t="s">
        <v>952</v>
      </c>
      <c r="D263" s="3" t="s">
        <v>1630</v>
      </c>
      <c r="E263" s="3" t="s">
        <v>1000</v>
      </c>
      <c r="F263" s="3" t="s">
        <v>1631</v>
      </c>
      <c r="G263" s="3" t="s">
        <v>1000</v>
      </c>
      <c r="H263" s="3" t="s">
        <v>1004</v>
      </c>
      <c r="I263" s="3"/>
      <c r="J263" s="4" t="b">
        <v>1</v>
      </c>
      <c r="K263" s="3">
        <f t="shared" si="13"/>
        <v>20</v>
      </c>
      <c r="L263" s="3"/>
      <c r="M263" s="3"/>
      <c r="N263" s="3" t="b">
        <v>0</v>
      </c>
      <c r="O263" s="3"/>
      <c r="P263" s="3">
        <v>12.8999996185303</v>
      </c>
      <c r="Q263" s="3" t="s">
        <v>1321</v>
      </c>
      <c r="R263" s="3" t="s">
        <v>1181</v>
      </c>
      <c r="S263" s="3" t="s">
        <v>1005</v>
      </c>
      <c r="T263" s="3" t="s">
        <v>26</v>
      </c>
      <c r="U263" s="3" t="b">
        <v>0</v>
      </c>
      <c r="V263" s="3">
        <v>0.80000001192092896</v>
      </c>
      <c r="W263" s="3" t="e">
        <f t="shared" si="12"/>
        <v>#VALUE!</v>
      </c>
      <c r="X263" s="3">
        <v>9</v>
      </c>
      <c r="Y263" s="3">
        <v>0.79000002145767201</v>
      </c>
      <c r="Z263" s="3"/>
      <c r="AA263" s="3" t="str">
        <f t="shared" si="14"/>
        <v>Species</v>
      </c>
      <c r="AB263" s="3">
        <v>10</v>
      </c>
      <c r="AC263" s="3" t="s">
        <v>1183</v>
      </c>
      <c r="AD263" s="3" t="s">
        <v>1183</v>
      </c>
      <c r="AE263" s="3">
        <v>10</v>
      </c>
      <c r="AF263" s="5">
        <v>20</v>
      </c>
      <c r="AG263" s="3" t="s">
        <v>1183</v>
      </c>
      <c r="AH263" s="3" t="s">
        <v>1183</v>
      </c>
      <c r="AI263" s="3" t="s">
        <v>1183</v>
      </c>
      <c r="AJ263" s="3" t="s">
        <v>1183</v>
      </c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6">
        <v>25</v>
      </c>
      <c r="BF263" s="6">
        <v>225</v>
      </c>
      <c r="BG263" s="6">
        <v>58</v>
      </c>
    </row>
    <row r="264" spans="1:59" ht="15.75" x14ac:dyDescent="0.25">
      <c r="A264" s="3">
        <v>247</v>
      </c>
      <c r="B264" s="3" t="s">
        <v>999</v>
      </c>
      <c r="C264" s="3" t="s">
        <v>952</v>
      </c>
      <c r="D264" s="3" t="s">
        <v>1630</v>
      </c>
      <c r="E264" s="3" t="s">
        <v>1000</v>
      </c>
      <c r="F264" s="3" t="s">
        <v>1632</v>
      </c>
      <c r="G264" s="3" t="s">
        <v>1001</v>
      </c>
      <c r="H264" s="3" t="s">
        <v>1633</v>
      </c>
      <c r="I264" s="3"/>
      <c r="J264" s="4" t="s">
        <v>1188</v>
      </c>
      <c r="K264" s="3" t="str">
        <f t="shared" si="13"/>
        <v/>
      </c>
      <c r="L264" s="3"/>
      <c r="M264" s="3"/>
      <c r="N264" s="3" t="b">
        <v>1</v>
      </c>
      <c r="O264" s="3"/>
      <c r="P264" s="3"/>
      <c r="Q264" s="3"/>
      <c r="R264" s="3" t="s">
        <v>1181</v>
      </c>
      <c r="S264" s="3"/>
      <c r="T264" s="3"/>
      <c r="U264" s="3"/>
      <c r="V264" s="3"/>
      <c r="W264" s="3" t="str">
        <f t="shared" si="12"/>
        <v/>
      </c>
      <c r="X264" s="3">
        <v>9</v>
      </c>
      <c r="Y264" s="3">
        <v>0.69999998807907104</v>
      </c>
      <c r="Z264" s="3"/>
      <c r="AA264" s="3" t="str">
        <f t="shared" si="14"/>
        <v>Genus</v>
      </c>
      <c r="AB264" s="3" t="s">
        <v>1183</v>
      </c>
      <c r="AC264" s="3" t="s">
        <v>1183</v>
      </c>
      <c r="AD264" s="3" t="s">
        <v>1183</v>
      </c>
      <c r="AE264" s="3" t="s">
        <v>1183</v>
      </c>
      <c r="AF264" s="5"/>
      <c r="AG264" s="3" t="s">
        <v>1183</v>
      </c>
      <c r="AH264" s="3" t="s">
        <v>1183</v>
      </c>
      <c r="AI264" s="3" t="s">
        <v>1183</v>
      </c>
      <c r="AJ264" s="3" t="s">
        <v>1183</v>
      </c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6">
        <v>13.100000000000001</v>
      </c>
      <c r="BF264" s="6">
        <v>70</v>
      </c>
      <c r="BG264" s="6">
        <v>20</v>
      </c>
    </row>
    <row r="265" spans="1:59" ht="15.75" x14ac:dyDescent="0.25">
      <c r="A265" s="3">
        <v>248</v>
      </c>
      <c r="B265" s="3" t="s">
        <v>1006</v>
      </c>
      <c r="C265" s="3" t="s">
        <v>1007</v>
      </c>
      <c r="D265" s="3" t="s">
        <v>1634</v>
      </c>
      <c r="E265" s="3" t="s">
        <v>1008</v>
      </c>
      <c r="F265" s="3" t="s">
        <v>1635</v>
      </c>
      <c r="G265" s="3" t="s">
        <v>1008</v>
      </c>
      <c r="H265" s="3" t="s">
        <v>1009</v>
      </c>
      <c r="I265" s="3"/>
      <c r="J265" s="4" t="b">
        <v>0</v>
      </c>
      <c r="K265" s="3">
        <f t="shared" si="13"/>
        <v>50</v>
      </c>
      <c r="L265" s="3"/>
      <c r="M265" s="3"/>
      <c r="N265" s="3" t="b">
        <v>0</v>
      </c>
      <c r="O265" s="3"/>
      <c r="P265" s="3">
        <v>41.400001525878899</v>
      </c>
      <c r="Q265" s="3"/>
      <c r="R265" s="3" t="s">
        <v>1181</v>
      </c>
      <c r="S265" s="3" t="s">
        <v>264</v>
      </c>
      <c r="T265" s="3" t="s">
        <v>26</v>
      </c>
      <c r="U265" s="3" t="b">
        <v>0</v>
      </c>
      <c r="V265" s="3">
        <v>0.44999998807907099</v>
      </c>
      <c r="W265" s="3" t="e">
        <f t="shared" si="12"/>
        <v>#VALUE!</v>
      </c>
      <c r="X265" s="3">
        <v>9</v>
      </c>
      <c r="Y265" s="3">
        <v>0.81999999284744296</v>
      </c>
      <c r="Z265" s="3"/>
      <c r="AA265" s="3" t="str">
        <f t="shared" si="14"/>
        <v>Species</v>
      </c>
      <c r="AB265" s="3">
        <v>50</v>
      </c>
      <c r="AC265" s="3" t="s">
        <v>1183</v>
      </c>
      <c r="AD265" s="3" t="s">
        <v>1183</v>
      </c>
      <c r="AE265" s="3">
        <v>50</v>
      </c>
      <c r="AF265" s="5">
        <v>50</v>
      </c>
      <c r="AG265" s="3" t="s">
        <v>1183</v>
      </c>
      <c r="AH265" s="3" t="s">
        <v>1183</v>
      </c>
      <c r="AI265" s="3" t="s">
        <v>1183</v>
      </c>
      <c r="AJ265" s="3" t="s">
        <v>1183</v>
      </c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6">
        <v>13.002999999999998</v>
      </c>
      <c r="BF265" s="6">
        <v>8</v>
      </c>
      <c r="BG265" s="6">
        <v>20.010000000000002</v>
      </c>
    </row>
    <row r="266" spans="1:59" ht="15.75" x14ac:dyDescent="0.25">
      <c r="A266" s="3">
        <v>249</v>
      </c>
      <c r="B266" s="3" t="s">
        <v>854</v>
      </c>
      <c r="C266" s="3" t="s">
        <v>855</v>
      </c>
      <c r="D266" s="3" t="s">
        <v>1576</v>
      </c>
      <c r="E266" s="3" t="s">
        <v>856</v>
      </c>
      <c r="F266" s="3" t="s">
        <v>1636</v>
      </c>
      <c r="G266" s="3" t="s">
        <v>857</v>
      </c>
      <c r="H266" s="3" t="s">
        <v>858</v>
      </c>
      <c r="I266" s="3"/>
      <c r="J266" s="4" t="b">
        <v>1</v>
      </c>
      <c r="K266" s="3">
        <f t="shared" si="13"/>
        <v>90</v>
      </c>
      <c r="L266" s="3"/>
      <c r="M266" s="3"/>
      <c r="N266" s="3" t="b">
        <v>0</v>
      </c>
      <c r="O266" s="3"/>
      <c r="P266" s="3">
        <v>138.89999389648401</v>
      </c>
      <c r="Q266" s="3" t="s">
        <v>1380</v>
      </c>
      <c r="R266" s="3" t="s">
        <v>1181</v>
      </c>
      <c r="S266" s="3" t="s">
        <v>264</v>
      </c>
      <c r="T266" s="3" t="s">
        <v>26</v>
      </c>
      <c r="U266" s="3" t="b">
        <v>0</v>
      </c>
      <c r="V266" s="3">
        <v>0.68999999761581399</v>
      </c>
      <c r="W266" s="3" t="e">
        <f t="shared" si="12"/>
        <v>#VALUE!</v>
      </c>
      <c r="X266" s="3">
        <v>9</v>
      </c>
      <c r="Y266" s="3">
        <v>0.86000001430511497</v>
      </c>
      <c r="Z266" s="3"/>
      <c r="AA266" s="3" t="str">
        <f t="shared" si="14"/>
        <v>Species</v>
      </c>
      <c r="AB266" s="3">
        <v>200</v>
      </c>
      <c r="AC266" s="3" t="s">
        <v>1183</v>
      </c>
      <c r="AD266" s="3" t="s">
        <v>1183</v>
      </c>
      <c r="AE266" s="3">
        <v>200</v>
      </c>
      <c r="AF266" s="5">
        <v>90</v>
      </c>
      <c r="AG266" s="3" t="s">
        <v>1183</v>
      </c>
      <c r="AH266" s="3" t="s">
        <v>1183</v>
      </c>
      <c r="AI266" s="3" t="s">
        <v>1183</v>
      </c>
      <c r="AJ266" s="3" t="s">
        <v>1183</v>
      </c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6">
        <v>47.350000000000016</v>
      </c>
      <c r="BF266" s="6">
        <v>74</v>
      </c>
      <c r="BG266" s="6">
        <v>86.5</v>
      </c>
    </row>
    <row r="267" spans="1:59" ht="15.75" x14ac:dyDescent="0.25">
      <c r="A267" s="3">
        <v>250</v>
      </c>
      <c r="B267" s="3" t="s">
        <v>539</v>
      </c>
      <c r="C267" s="3" t="s">
        <v>321</v>
      </c>
      <c r="D267" s="3" t="s">
        <v>1441</v>
      </c>
      <c r="E267" s="3" t="s">
        <v>536</v>
      </c>
      <c r="F267" s="3" t="s">
        <v>1637</v>
      </c>
      <c r="G267" s="3" t="s">
        <v>540</v>
      </c>
      <c r="H267" s="3" t="s">
        <v>541</v>
      </c>
      <c r="I267" s="3"/>
      <c r="J267" s="4" t="b">
        <v>1</v>
      </c>
      <c r="K267" s="3">
        <f t="shared" si="13"/>
        <v>40</v>
      </c>
      <c r="L267" s="3"/>
      <c r="M267" s="3"/>
      <c r="N267" s="3" t="b">
        <v>1</v>
      </c>
      <c r="O267" s="3"/>
      <c r="P267" s="3">
        <v>40.200000762939503</v>
      </c>
      <c r="Q267" s="3" t="s">
        <v>1252</v>
      </c>
      <c r="R267" s="3" t="s">
        <v>1181</v>
      </c>
      <c r="S267" s="3" t="s">
        <v>542</v>
      </c>
      <c r="T267" s="3" t="s">
        <v>26</v>
      </c>
      <c r="U267" s="3" t="b">
        <v>0</v>
      </c>
      <c r="V267" s="3">
        <v>0.69999998807907104</v>
      </c>
      <c r="W267" s="3" t="e">
        <f t="shared" si="12"/>
        <v>#VALUE!</v>
      </c>
      <c r="X267" s="3">
        <v>9</v>
      </c>
      <c r="Y267" s="3">
        <v>0.79000002145767201</v>
      </c>
      <c r="Z267" s="3"/>
      <c r="AA267" s="3" t="str">
        <f t="shared" si="14"/>
        <v>Species</v>
      </c>
      <c r="AB267" s="3">
        <v>40</v>
      </c>
      <c r="AC267" s="3" t="s">
        <v>1183</v>
      </c>
      <c r="AD267" s="3" t="s">
        <v>1183</v>
      </c>
      <c r="AE267" s="3">
        <v>40</v>
      </c>
      <c r="AF267" s="5">
        <v>40</v>
      </c>
      <c r="AG267" s="3" t="s">
        <v>1183</v>
      </c>
      <c r="AH267" s="3" t="s">
        <v>1183</v>
      </c>
      <c r="AI267" s="3" t="s">
        <v>1183</v>
      </c>
      <c r="AJ267" s="3" t="s">
        <v>1183</v>
      </c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6">
        <v>38</v>
      </c>
      <c r="BF267" s="6">
        <v>355</v>
      </c>
      <c r="BG267" s="6">
        <v>63</v>
      </c>
    </row>
    <row r="268" spans="1:59" ht="15.75" x14ac:dyDescent="0.25">
      <c r="A268" s="3">
        <v>251</v>
      </c>
      <c r="B268" s="3" t="s">
        <v>1638</v>
      </c>
      <c r="C268" s="3" t="s">
        <v>1639</v>
      </c>
      <c r="D268" s="3" t="s">
        <v>1639</v>
      </c>
      <c r="E268" s="3" t="s">
        <v>1639</v>
      </c>
      <c r="F268" s="3" t="s">
        <v>1639</v>
      </c>
      <c r="G268" s="3" t="s">
        <v>1639</v>
      </c>
      <c r="H268" s="3" t="s">
        <v>1639</v>
      </c>
      <c r="I268" s="3"/>
      <c r="J268" s="4" t="s">
        <v>1188</v>
      </c>
      <c r="K268" s="3" t="str">
        <f t="shared" si="13"/>
        <v/>
      </c>
      <c r="L268" s="3"/>
      <c r="M268" s="3"/>
      <c r="N268" s="3" t="b">
        <v>1</v>
      </c>
      <c r="O268" s="3"/>
      <c r="P268" s="3"/>
      <c r="Q268" s="3"/>
      <c r="R268" s="3"/>
      <c r="S268" s="3"/>
      <c r="T268" s="3"/>
      <c r="U268" s="3"/>
      <c r="V268" s="3"/>
      <c r="W268" s="3" t="str">
        <f t="shared" si="12"/>
        <v/>
      </c>
      <c r="X268" s="3"/>
      <c r="Y268" s="3"/>
      <c r="Z268" s="3"/>
      <c r="AA268" s="3" t="s">
        <v>1329</v>
      </c>
      <c r="AB268" s="3"/>
      <c r="AC268" s="3" t="s">
        <v>1183</v>
      </c>
      <c r="AD268" s="3" t="s">
        <v>1183</v>
      </c>
      <c r="AE268" s="3" t="s">
        <v>1183</v>
      </c>
      <c r="AF268" s="5" t="s">
        <v>1183</v>
      </c>
      <c r="AG268" s="3" t="s">
        <v>1183</v>
      </c>
      <c r="AH268" s="3" t="s">
        <v>1183</v>
      </c>
      <c r="AI268" s="3" t="s">
        <v>1183</v>
      </c>
      <c r="AJ268" s="3" t="s">
        <v>1183</v>
      </c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6"/>
      <c r="BF268" s="6"/>
      <c r="BG268" s="6"/>
    </row>
    <row r="269" spans="1:59" ht="15.75" x14ac:dyDescent="0.25">
      <c r="A269" s="3">
        <v>252</v>
      </c>
      <c r="B269" s="3" t="s">
        <v>1012</v>
      </c>
      <c r="C269" s="3" t="s">
        <v>1013</v>
      </c>
      <c r="D269" s="3" t="s">
        <v>1640</v>
      </c>
      <c r="E269" s="3" t="s">
        <v>1014</v>
      </c>
      <c r="F269" s="3" t="s">
        <v>1641</v>
      </c>
      <c r="G269" s="3" t="s">
        <v>1014</v>
      </c>
      <c r="H269" s="3" t="s">
        <v>1015</v>
      </c>
      <c r="I269" s="3"/>
      <c r="J269" s="4" t="b">
        <v>0</v>
      </c>
      <c r="K269" s="3">
        <f t="shared" si="13"/>
        <v>75</v>
      </c>
      <c r="L269" s="3"/>
      <c r="M269" s="3"/>
      <c r="N269" s="3" t="b">
        <v>0</v>
      </c>
      <c r="O269" s="3"/>
      <c r="P269" s="3">
        <v>40.5</v>
      </c>
      <c r="Q269" s="3" t="s">
        <v>1463</v>
      </c>
      <c r="R269" s="3" t="s">
        <v>1181</v>
      </c>
      <c r="S269" s="3" t="s">
        <v>191</v>
      </c>
      <c r="T269" s="3" t="s">
        <v>26</v>
      </c>
      <c r="U269" s="3" t="b">
        <v>0</v>
      </c>
      <c r="V269" s="3">
        <v>0.490000009536743</v>
      </c>
      <c r="W269" s="3" t="e">
        <f t="shared" si="12"/>
        <v>#VALUE!</v>
      </c>
      <c r="X269" s="3">
        <v>9</v>
      </c>
      <c r="Y269" s="3">
        <v>0.79000002145767201</v>
      </c>
      <c r="Z269" s="3"/>
      <c r="AA269" s="3" t="str">
        <f t="shared" si="14"/>
        <v>Species</v>
      </c>
      <c r="AB269" s="3">
        <v>75</v>
      </c>
      <c r="AC269" s="3" t="s">
        <v>1183</v>
      </c>
      <c r="AD269" s="3" t="s">
        <v>1183</v>
      </c>
      <c r="AE269" s="3">
        <v>75</v>
      </c>
      <c r="AF269" s="5">
        <v>75</v>
      </c>
      <c r="AG269" s="3" t="s">
        <v>1642</v>
      </c>
      <c r="AH269" s="3">
        <v>30</v>
      </c>
      <c r="AI269" s="3">
        <v>100</v>
      </c>
      <c r="AJ269" s="3">
        <v>15</v>
      </c>
      <c r="AK269" s="3">
        <v>30</v>
      </c>
      <c r="AL269" s="3"/>
      <c r="AM269" s="3"/>
      <c r="AN269" s="3"/>
      <c r="AO269" s="3"/>
      <c r="AP269" s="3"/>
      <c r="AQ269" s="3"/>
      <c r="AR269" s="3"/>
      <c r="AS269" s="3">
        <v>75</v>
      </c>
      <c r="AT269" s="3"/>
      <c r="AU269" s="3">
        <v>25</v>
      </c>
      <c r="AV269" s="3"/>
      <c r="AW269" s="3"/>
      <c r="AX269" s="3"/>
      <c r="AY269" s="3"/>
      <c r="AZ269" s="3"/>
      <c r="BA269" s="3"/>
      <c r="BB269" s="3"/>
      <c r="BC269" s="3"/>
      <c r="BD269" s="3"/>
      <c r="BE269" s="6">
        <v>55</v>
      </c>
      <c r="BF269" s="6">
        <v>736</v>
      </c>
      <c r="BG269" s="6">
        <v>120</v>
      </c>
    </row>
    <row r="270" spans="1:59" ht="15.75" x14ac:dyDescent="0.25">
      <c r="A270" s="3">
        <v>253</v>
      </c>
      <c r="B270" s="3" t="s">
        <v>1016</v>
      </c>
      <c r="C270" s="3" t="s">
        <v>593</v>
      </c>
      <c r="D270" s="3" t="s">
        <v>1643</v>
      </c>
      <c r="E270" s="3" t="s">
        <v>1017</v>
      </c>
      <c r="F270" s="3" t="s">
        <v>1644</v>
      </c>
      <c r="G270" s="3" t="s">
        <v>1018</v>
      </c>
      <c r="H270" s="3" t="s">
        <v>1019</v>
      </c>
      <c r="I270" s="3"/>
      <c r="J270" s="4" t="b">
        <v>1</v>
      </c>
      <c r="K270" s="3">
        <f t="shared" si="13"/>
        <v>100</v>
      </c>
      <c r="L270" s="3"/>
      <c r="M270" s="3"/>
      <c r="N270" s="3" t="b">
        <v>0</v>
      </c>
      <c r="O270" s="3"/>
      <c r="P270" s="3">
        <v>77.400001525878906</v>
      </c>
      <c r="Q270" s="3" t="s">
        <v>1252</v>
      </c>
      <c r="R270" s="3" t="s">
        <v>1181</v>
      </c>
      <c r="S270" s="3" t="s">
        <v>264</v>
      </c>
      <c r="T270" s="3" t="s">
        <v>26</v>
      </c>
      <c r="U270" s="3" t="b">
        <v>0</v>
      </c>
      <c r="V270" s="3">
        <v>0.769999980926514</v>
      </c>
      <c r="W270" s="3" t="e">
        <f t="shared" si="12"/>
        <v>#VALUE!</v>
      </c>
      <c r="X270" s="3">
        <v>9</v>
      </c>
      <c r="Y270" s="3">
        <v>0.89999997615814198</v>
      </c>
      <c r="Z270" s="3"/>
      <c r="AA270" s="3" t="str">
        <f t="shared" si="14"/>
        <v>Species</v>
      </c>
      <c r="AB270" s="3">
        <v>100</v>
      </c>
      <c r="AC270" s="3">
        <v>150</v>
      </c>
      <c r="AD270" s="3" t="s">
        <v>1208</v>
      </c>
      <c r="AE270" s="3">
        <v>100</v>
      </c>
      <c r="AF270" s="5">
        <v>100</v>
      </c>
      <c r="AG270" s="3" t="s">
        <v>1645</v>
      </c>
      <c r="AH270" s="3">
        <v>60</v>
      </c>
      <c r="AI270" s="3">
        <v>150</v>
      </c>
      <c r="AJ270" s="3">
        <v>20</v>
      </c>
      <c r="AK270" s="3">
        <v>30</v>
      </c>
      <c r="AL270" s="3"/>
      <c r="AM270" s="3"/>
      <c r="AN270" s="3"/>
      <c r="AO270" s="3"/>
      <c r="AP270" s="3"/>
      <c r="AQ270" s="3"/>
      <c r="AR270" s="3"/>
      <c r="AS270" s="3">
        <v>100</v>
      </c>
      <c r="AT270" s="3"/>
      <c r="AU270" s="3">
        <v>35</v>
      </c>
      <c r="AV270" s="3"/>
      <c r="AW270" s="3"/>
      <c r="AX270" s="3"/>
      <c r="AY270" s="3"/>
      <c r="AZ270" s="3"/>
      <c r="BA270" s="3"/>
      <c r="BB270" s="3"/>
      <c r="BC270" s="3"/>
      <c r="BD270" s="3"/>
      <c r="BE270" s="6">
        <v>44.900000000000006</v>
      </c>
      <c r="BF270" s="6">
        <v>142</v>
      </c>
      <c r="BG270" s="6">
        <v>152</v>
      </c>
    </row>
    <row r="271" spans="1:59" ht="15.75" x14ac:dyDescent="0.25">
      <c r="A271" s="3">
        <v>254</v>
      </c>
      <c r="B271" s="3" t="s">
        <v>1020</v>
      </c>
      <c r="C271" s="3" t="s">
        <v>1021</v>
      </c>
      <c r="D271" s="3" t="s">
        <v>1021</v>
      </c>
      <c r="E271" s="3" t="s">
        <v>1021</v>
      </c>
      <c r="F271" s="3" t="s">
        <v>1021</v>
      </c>
      <c r="G271" s="3" t="s">
        <v>1022</v>
      </c>
      <c r="H271" s="3" t="s">
        <v>1022</v>
      </c>
      <c r="I271" s="3"/>
      <c r="J271" s="4" t="s">
        <v>1188</v>
      </c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 t="str">
        <f t="shared" si="12"/>
        <v/>
      </c>
      <c r="X271" s="3"/>
      <c r="Y271" s="3"/>
      <c r="Z271" s="3"/>
      <c r="AA271" s="3" t="s">
        <v>1329</v>
      </c>
      <c r="AB271" s="3" t="s">
        <v>1183</v>
      </c>
      <c r="AC271" s="3" t="s">
        <v>1183</v>
      </c>
      <c r="AD271" s="3" t="s">
        <v>1183</v>
      </c>
      <c r="AE271" s="3" t="s">
        <v>1183</v>
      </c>
      <c r="AF271" s="5"/>
      <c r="AG271" s="3" t="s">
        <v>1183</v>
      </c>
      <c r="AH271" s="3" t="s">
        <v>1183</v>
      </c>
      <c r="AI271" s="3" t="s">
        <v>1183</v>
      </c>
      <c r="AJ271" s="3" t="s">
        <v>1183</v>
      </c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6"/>
      <c r="BF271" s="6"/>
      <c r="BG271" s="6"/>
    </row>
    <row r="272" spans="1:59" ht="15.75" x14ac:dyDescent="0.25">
      <c r="A272" s="3">
        <v>255</v>
      </c>
      <c r="B272" s="3" t="s">
        <v>1031</v>
      </c>
      <c r="C272" s="3" t="s">
        <v>482</v>
      </c>
      <c r="D272" s="3" t="s">
        <v>1516</v>
      </c>
      <c r="E272" s="3" t="s">
        <v>1024</v>
      </c>
      <c r="F272" s="3" t="s">
        <v>1646</v>
      </c>
      <c r="G272" s="3" t="s">
        <v>1028</v>
      </c>
      <c r="H272" s="3" t="s">
        <v>1647</v>
      </c>
      <c r="I272" s="3"/>
      <c r="J272" s="4" t="s">
        <v>1188</v>
      </c>
      <c r="K272" s="3" t="str">
        <f t="shared" si="13"/>
        <v/>
      </c>
      <c r="L272" s="3"/>
      <c r="M272" s="3"/>
      <c r="N272" s="3" t="b">
        <v>1</v>
      </c>
      <c r="O272" s="3"/>
      <c r="P272" s="3"/>
      <c r="Q272" s="3"/>
      <c r="R272" s="3" t="s">
        <v>1181</v>
      </c>
      <c r="S272" s="3"/>
      <c r="T272" s="3"/>
      <c r="U272" s="3"/>
      <c r="V272" s="3"/>
      <c r="W272" s="3" t="str">
        <f t="shared" si="12"/>
        <v/>
      </c>
      <c r="X272" s="3">
        <v>9</v>
      </c>
      <c r="Y272" s="3">
        <v>0.69999998807907104</v>
      </c>
      <c r="Z272" s="3"/>
      <c r="AA272" s="3" t="str">
        <f t="shared" si="14"/>
        <v>Genus</v>
      </c>
      <c r="AB272" s="3" t="s">
        <v>1183</v>
      </c>
      <c r="AC272" s="3" t="s">
        <v>1183</v>
      </c>
      <c r="AD272" s="3" t="s">
        <v>1183</v>
      </c>
      <c r="AE272" s="3" t="s">
        <v>1183</v>
      </c>
      <c r="AF272" s="5"/>
      <c r="AG272" s="3" t="s">
        <v>1183</v>
      </c>
      <c r="AH272" s="3" t="s">
        <v>1183</v>
      </c>
      <c r="AI272" s="3" t="s">
        <v>1183</v>
      </c>
      <c r="AJ272" s="3" t="s">
        <v>1183</v>
      </c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6">
        <v>9</v>
      </c>
      <c r="BF272" s="6">
        <v>15</v>
      </c>
      <c r="BG272" s="6">
        <v>10</v>
      </c>
    </row>
    <row r="273" spans="1:59" ht="15.75" x14ac:dyDescent="0.25">
      <c r="A273" s="3">
        <v>256</v>
      </c>
      <c r="B273" s="3" t="s">
        <v>1045</v>
      </c>
      <c r="C273" s="3" t="s">
        <v>450</v>
      </c>
      <c r="D273" s="3" t="s">
        <v>1265</v>
      </c>
      <c r="E273" s="3" t="s">
        <v>1039</v>
      </c>
      <c r="F273" s="3" t="s">
        <v>1648</v>
      </c>
      <c r="G273" s="3" t="s">
        <v>1046</v>
      </c>
      <c r="H273" s="3" t="s">
        <v>1047</v>
      </c>
      <c r="I273" s="3"/>
      <c r="J273" s="4" t="b">
        <v>1</v>
      </c>
      <c r="K273" s="3">
        <f t="shared" si="13"/>
        <v>100</v>
      </c>
      <c r="L273" s="3"/>
      <c r="M273" s="3"/>
      <c r="N273" s="3" t="b">
        <v>1</v>
      </c>
      <c r="O273" s="3"/>
      <c r="P273" s="3">
        <v>92.400001525878906</v>
      </c>
      <c r="Q273" s="3" t="s">
        <v>1252</v>
      </c>
      <c r="R273" s="3" t="s">
        <v>1181</v>
      </c>
      <c r="S273" s="3" t="s">
        <v>1048</v>
      </c>
      <c r="T273" s="3" t="s">
        <v>26</v>
      </c>
      <c r="U273" s="3" t="b">
        <v>0</v>
      </c>
      <c r="V273" s="3">
        <v>0.67000001668930098</v>
      </c>
      <c r="W273" s="3" t="e">
        <f t="shared" si="12"/>
        <v>#VALUE!</v>
      </c>
      <c r="X273" s="3">
        <v>9</v>
      </c>
      <c r="Y273" s="3">
        <v>0.91000002622604403</v>
      </c>
      <c r="Z273" s="3"/>
      <c r="AA273" s="3" t="str">
        <f t="shared" si="14"/>
        <v>Species</v>
      </c>
      <c r="AB273" s="3">
        <v>120</v>
      </c>
      <c r="AC273" s="3">
        <v>120</v>
      </c>
      <c r="AD273" s="3" t="s">
        <v>1208</v>
      </c>
      <c r="AE273" s="3">
        <v>120</v>
      </c>
      <c r="AF273" s="5">
        <v>100</v>
      </c>
      <c r="AG273" s="3" t="s">
        <v>1649</v>
      </c>
      <c r="AH273" s="3">
        <v>60</v>
      </c>
      <c r="AI273" s="3">
        <v>120</v>
      </c>
      <c r="AJ273" s="3">
        <v>20</v>
      </c>
      <c r="AK273" s="3">
        <v>27</v>
      </c>
      <c r="AL273" s="3"/>
      <c r="AM273" s="3"/>
      <c r="AN273" s="3"/>
      <c r="AO273" s="3"/>
      <c r="AP273" s="3"/>
      <c r="AQ273" s="3"/>
      <c r="AR273" s="3"/>
      <c r="AS273" s="3">
        <v>120</v>
      </c>
      <c r="AT273" s="3"/>
      <c r="AU273" s="3">
        <v>30</v>
      </c>
      <c r="AV273" s="3"/>
      <c r="AW273" s="3"/>
      <c r="AX273" s="3"/>
      <c r="AY273" s="3"/>
      <c r="AZ273" s="3"/>
      <c r="BA273" s="3"/>
      <c r="BB273" s="3"/>
      <c r="BC273" s="3"/>
      <c r="BD273" s="3"/>
      <c r="BE273" s="6">
        <v>68</v>
      </c>
      <c r="BF273" s="6">
        <v>1402</v>
      </c>
      <c r="BG273" s="6">
        <v>124</v>
      </c>
    </row>
    <row r="274" spans="1:59" ht="15.75" x14ac:dyDescent="0.25">
      <c r="A274" s="3">
        <v>257</v>
      </c>
      <c r="B274" s="3" t="s">
        <v>1049</v>
      </c>
      <c r="C274" s="3" t="s">
        <v>450</v>
      </c>
      <c r="D274" s="3" t="s">
        <v>1265</v>
      </c>
      <c r="E274" s="3" t="s">
        <v>1039</v>
      </c>
      <c r="F274" s="3" t="s">
        <v>1650</v>
      </c>
      <c r="G274" s="3" t="s">
        <v>1050</v>
      </c>
      <c r="H274" s="3" t="s">
        <v>1051</v>
      </c>
      <c r="I274" s="3"/>
      <c r="J274" s="4" t="b">
        <v>0</v>
      </c>
      <c r="K274" s="3">
        <f t="shared" si="13"/>
        <v>70</v>
      </c>
      <c r="L274" s="3"/>
      <c r="M274" s="3"/>
      <c r="N274" s="3" t="b">
        <v>0</v>
      </c>
      <c r="O274" s="3"/>
      <c r="P274" s="3">
        <v>40</v>
      </c>
      <c r="Q274" s="3"/>
      <c r="R274" s="3" t="s">
        <v>1181</v>
      </c>
      <c r="S274" s="3" t="s">
        <v>1052</v>
      </c>
      <c r="T274" s="3" t="s">
        <v>26</v>
      </c>
      <c r="U274" s="3" t="b">
        <v>0</v>
      </c>
      <c r="V274" s="3">
        <v>0.69999998807907104</v>
      </c>
      <c r="W274" s="3" t="e">
        <f t="shared" si="12"/>
        <v>#VALUE!</v>
      </c>
      <c r="X274" s="3">
        <v>9</v>
      </c>
      <c r="Y274" s="3">
        <v>0.91000002622604403</v>
      </c>
      <c r="Z274" s="3"/>
      <c r="AA274" s="3" t="str">
        <f t="shared" si="14"/>
        <v>Species</v>
      </c>
      <c r="AB274" s="3" t="s">
        <v>1183</v>
      </c>
      <c r="AC274" s="3" t="s">
        <v>1183</v>
      </c>
      <c r="AD274" s="3" t="s">
        <v>1183</v>
      </c>
      <c r="AE274" s="3" t="s">
        <v>1183</v>
      </c>
      <c r="AF274" s="5">
        <v>70</v>
      </c>
      <c r="AG274" s="3" t="s">
        <v>1183</v>
      </c>
      <c r="AH274" s="3" t="s">
        <v>1183</v>
      </c>
      <c r="AI274" s="3" t="s">
        <v>1183</v>
      </c>
      <c r="AJ274" s="3" t="s">
        <v>1183</v>
      </c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6">
        <v>38.980000000000004</v>
      </c>
      <c r="BF274" s="6">
        <v>4</v>
      </c>
      <c r="BG274" s="6">
        <v>40</v>
      </c>
    </row>
    <row r="275" spans="1:59" ht="15.75" x14ac:dyDescent="0.25">
      <c r="A275" s="3">
        <v>310</v>
      </c>
      <c r="B275" s="3" t="s">
        <v>1042</v>
      </c>
      <c r="C275" s="3" t="s">
        <v>450</v>
      </c>
      <c r="D275" s="3" t="s">
        <v>1265</v>
      </c>
      <c r="E275" s="3" t="s">
        <v>1039</v>
      </c>
      <c r="F275" s="3" t="s">
        <v>1709</v>
      </c>
      <c r="G275" s="3" t="s">
        <v>1043</v>
      </c>
      <c r="H275" s="3" t="s">
        <v>1044</v>
      </c>
      <c r="I275" s="3"/>
      <c r="J275" s="4" t="b">
        <v>0</v>
      </c>
      <c r="K275" s="3" t="str">
        <f t="shared" si="13"/>
        <v/>
      </c>
      <c r="L275" s="3"/>
      <c r="M275" s="3"/>
      <c r="N275" s="3" t="b">
        <v>0</v>
      </c>
      <c r="O275" s="3"/>
      <c r="P275" s="3"/>
      <c r="Q275" s="3"/>
      <c r="R275" s="3" t="s">
        <v>1181</v>
      </c>
      <c r="S275" s="3" t="s">
        <v>307</v>
      </c>
      <c r="T275" s="3" t="s">
        <v>26</v>
      </c>
      <c r="U275" s="3"/>
      <c r="V275" s="3"/>
      <c r="W275" s="3" t="e">
        <f t="shared" si="12"/>
        <v>#VALUE!</v>
      </c>
      <c r="X275" s="3"/>
      <c r="Y275" s="3"/>
      <c r="Z275" s="3"/>
      <c r="AA275" s="3" t="str">
        <f t="shared" si="14"/>
        <v>Species</v>
      </c>
      <c r="AB275" s="3"/>
      <c r="AC275" s="3"/>
      <c r="AD275" s="3"/>
      <c r="AE275" s="3"/>
      <c r="AF275" s="5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6">
        <v>32.199999999999996</v>
      </c>
      <c r="BF275" s="6">
        <v>3</v>
      </c>
      <c r="BG275" s="6">
        <v>37</v>
      </c>
    </row>
    <row r="276" spans="1:59" ht="15.75" x14ac:dyDescent="0.25">
      <c r="A276" s="3">
        <v>258</v>
      </c>
      <c r="B276" s="3" t="s">
        <v>1053</v>
      </c>
      <c r="C276" s="3" t="s">
        <v>450</v>
      </c>
      <c r="D276" s="3" t="s">
        <v>1265</v>
      </c>
      <c r="E276" s="3" t="s">
        <v>1039</v>
      </c>
      <c r="F276" s="3" t="s">
        <v>1651</v>
      </c>
      <c r="G276" s="3" t="s">
        <v>1054</v>
      </c>
      <c r="H276" s="3" t="s">
        <v>1652</v>
      </c>
      <c r="I276" s="3"/>
      <c r="J276" s="4" t="s">
        <v>1188</v>
      </c>
      <c r="K276" s="3" t="str">
        <f t="shared" si="13"/>
        <v/>
      </c>
      <c r="L276" s="3"/>
      <c r="M276" s="3"/>
      <c r="N276" s="3" t="b">
        <v>0</v>
      </c>
      <c r="O276" s="3"/>
      <c r="P276" s="3"/>
      <c r="Q276" s="3"/>
      <c r="R276" s="3" t="s">
        <v>1181</v>
      </c>
      <c r="S276" s="3"/>
      <c r="T276" s="3"/>
      <c r="U276" s="3"/>
      <c r="V276" s="3"/>
      <c r="W276" s="3" t="str">
        <f t="shared" si="12"/>
        <v/>
      </c>
      <c r="X276" s="3">
        <v>9</v>
      </c>
      <c r="Y276" s="3">
        <v>0.91000002622604403</v>
      </c>
      <c r="Z276" s="3"/>
      <c r="AA276" s="3" t="str">
        <f t="shared" si="14"/>
        <v>Genus</v>
      </c>
      <c r="AB276" s="3" t="s">
        <v>1183</v>
      </c>
      <c r="AC276" s="3" t="s">
        <v>1183</v>
      </c>
      <c r="AD276" s="3" t="s">
        <v>1183</v>
      </c>
      <c r="AE276" s="3" t="s">
        <v>1183</v>
      </c>
      <c r="AF276" s="5"/>
      <c r="AG276" s="3" t="s">
        <v>1183</v>
      </c>
      <c r="AH276" s="3" t="s">
        <v>1183</v>
      </c>
      <c r="AI276" s="3" t="s">
        <v>1183</v>
      </c>
      <c r="AJ276" s="3" t="s">
        <v>1183</v>
      </c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6">
        <v>77.3</v>
      </c>
      <c r="BF276" s="6">
        <v>35</v>
      </c>
      <c r="BG276" s="6">
        <v>92.5</v>
      </c>
    </row>
    <row r="277" spans="1:59" ht="15.75" x14ac:dyDescent="0.25">
      <c r="A277" s="3">
        <v>285</v>
      </c>
      <c r="B277" s="3" t="s">
        <v>1023</v>
      </c>
      <c r="C277" s="3" t="s">
        <v>482</v>
      </c>
      <c r="D277" s="3" t="s">
        <v>1516</v>
      </c>
      <c r="E277" s="3" t="s">
        <v>1024</v>
      </c>
      <c r="F277" s="3" t="s">
        <v>1653</v>
      </c>
      <c r="G277" s="3" t="s">
        <v>1025</v>
      </c>
      <c r="H277" s="3" t="s">
        <v>1026</v>
      </c>
      <c r="I277" s="3"/>
      <c r="J277" s="4" t="b">
        <v>0</v>
      </c>
      <c r="K277" s="3">
        <f t="shared" si="13"/>
        <v>10</v>
      </c>
      <c r="L277" s="3"/>
      <c r="M277" s="3"/>
      <c r="N277" s="3" t="b">
        <v>0</v>
      </c>
      <c r="O277" s="3"/>
      <c r="P277" s="3"/>
      <c r="Q277" s="3"/>
      <c r="R277" s="3" t="s">
        <v>1181</v>
      </c>
      <c r="S277" s="3"/>
      <c r="T277" s="3" t="s">
        <v>26</v>
      </c>
      <c r="U277" s="3" t="b">
        <v>0</v>
      </c>
      <c r="V277" s="3"/>
      <c r="W277" s="3" t="str">
        <f t="shared" si="12"/>
        <v/>
      </c>
      <c r="X277" s="3"/>
      <c r="Y277" s="3"/>
      <c r="Z277" s="3"/>
      <c r="AA277" s="3" t="str">
        <f t="shared" si="14"/>
        <v>Species</v>
      </c>
      <c r="AB277" s="3" t="s">
        <v>1183</v>
      </c>
      <c r="AC277" s="3" t="s">
        <v>1183</v>
      </c>
      <c r="AD277" s="3" t="s">
        <v>1183</v>
      </c>
      <c r="AE277" s="3" t="s">
        <v>1183</v>
      </c>
      <c r="AF277" s="5">
        <v>10</v>
      </c>
      <c r="AG277" s="3" t="s">
        <v>1183</v>
      </c>
      <c r="AH277" s="3" t="s">
        <v>1183</v>
      </c>
      <c r="AI277" s="3" t="s">
        <v>1183</v>
      </c>
      <c r="AJ277" s="3" t="s">
        <v>1183</v>
      </c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6">
        <v>5</v>
      </c>
      <c r="BF277" s="6">
        <v>1</v>
      </c>
      <c r="BG277" s="6">
        <v>5</v>
      </c>
    </row>
    <row r="278" spans="1:59" ht="15.75" x14ac:dyDescent="0.25">
      <c r="A278" s="3">
        <v>226</v>
      </c>
      <c r="B278" s="3" t="s">
        <v>1010</v>
      </c>
      <c r="C278" s="3" t="s">
        <v>200</v>
      </c>
      <c r="D278" s="3" t="s">
        <v>1277</v>
      </c>
      <c r="E278" s="3" t="s">
        <v>1011</v>
      </c>
      <c r="F278" s="3" t="s">
        <v>1654</v>
      </c>
      <c r="G278" s="3" t="s">
        <v>210</v>
      </c>
      <c r="H278" s="3" t="s">
        <v>211</v>
      </c>
      <c r="I278" s="3"/>
      <c r="J278" s="4" t="b">
        <v>0</v>
      </c>
      <c r="K278" s="3">
        <f t="shared" si="13"/>
        <v>90</v>
      </c>
      <c r="L278" s="3"/>
      <c r="M278" s="3"/>
      <c r="N278" s="3" t="b">
        <v>0</v>
      </c>
      <c r="O278" s="3"/>
      <c r="P278" s="3">
        <v>60</v>
      </c>
      <c r="Q278" s="3"/>
      <c r="R278" s="3" t="s">
        <v>1276</v>
      </c>
      <c r="S278" s="3"/>
      <c r="T278" s="3" t="s">
        <v>26</v>
      </c>
      <c r="U278" s="3" t="b">
        <v>0</v>
      </c>
      <c r="V278" s="3">
        <v>0.69999998807907104</v>
      </c>
      <c r="W278" s="3" t="str">
        <f t="shared" si="12"/>
        <v/>
      </c>
      <c r="X278" s="3">
        <v>9</v>
      </c>
      <c r="Y278" s="3">
        <v>0.69999998807907104</v>
      </c>
      <c r="Z278" s="3"/>
      <c r="AA278" s="3" t="str">
        <f t="shared" si="14"/>
        <v>Species</v>
      </c>
      <c r="AB278" s="3" t="s">
        <v>1183</v>
      </c>
      <c r="AC278" s="3" t="s">
        <v>1183</v>
      </c>
      <c r="AD278" s="3" t="s">
        <v>1183</v>
      </c>
      <c r="AE278" s="3" t="s">
        <v>1183</v>
      </c>
      <c r="AF278" s="5">
        <v>90</v>
      </c>
      <c r="AG278" s="3" t="s">
        <v>1183</v>
      </c>
      <c r="AH278" s="3" t="s">
        <v>1183</v>
      </c>
      <c r="AI278" s="3" t="s">
        <v>1183</v>
      </c>
      <c r="AJ278" s="3" t="s">
        <v>1183</v>
      </c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6">
        <v>37.75</v>
      </c>
      <c r="BF278" s="6">
        <v>10</v>
      </c>
      <c r="BG278" s="6">
        <v>40</v>
      </c>
    </row>
    <row r="279" spans="1:59" ht="15.75" x14ac:dyDescent="0.25">
      <c r="A279" s="3">
        <v>259</v>
      </c>
      <c r="B279" s="3" t="s">
        <v>685</v>
      </c>
      <c r="C279" s="3" t="s">
        <v>42</v>
      </c>
      <c r="D279" s="3" t="s">
        <v>1499</v>
      </c>
      <c r="E279" s="3" t="s">
        <v>669</v>
      </c>
      <c r="F279" s="3" t="s">
        <v>1655</v>
      </c>
      <c r="G279" s="3" t="s">
        <v>686</v>
      </c>
      <c r="H279" s="3" t="s">
        <v>687</v>
      </c>
      <c r="I279" s="3" t="s">
        <v>1656</v>
      </c>
      <c r="J279" s="4" t="b">
        <v>0</v>
      </c>
      <c r="K279" s="3" t="str">
        <f t="shared" si="13"/>
        <v/>
      </c>
      <c r="L279" s="3"/>
      <c r="M279" s="3"/>
      <c r="N279" s="3" t="b">
        <v>0</v>
      </c>
      <c r="O279" s="3"/>
      <c r="P279" s="3">
        <v>40</v>
      </c>
      <c r="Q279" s="3"/>
      <c r="R279" s="3" t="s">
        <v>1181</v>
      </c>
      <c r="S279" s="3"/>
      <c r="T279" s="3" t="s">
        <v>26</v>
      </c>
      <c r="U279" s="3" t="b">
        <v>0</v>
      </c>
      <c r="V279" s="3">
        <v>0.40000000596046398</v>
      </c>
      <c r="W279" s="3" t="str">
        <f t="shared" si="12"/>
        <v/>
      </c>
      <c r="X279" s="3">
        <v>9</v>
      </c>
      <c r="Y279" s="3">
        <v>0.79000002145767201</v>
      </c>
      <c r="Z279" s="3"/>
      <c r="AA279" s="3" t="str">
        <f t="shared" si="14"/>
        <v>Species</v>
      </c>
      <c r="AB279" s="3" t="s">
        <v>1183</v>
      </c>
      <c r="AC279" s="3" t="s">
        <v>1183</v>
      </c>
      <c r="AD279" s="3" t="s">
        <v>1183</v>
      </c>
      <c r="AE279" s="3" t="s">
        <v>1183</v>
      </c>
      <c r="AF279" s="5" t="s">
        <v>1183</v>
      </c>
      <c r="AG279" s="3" t="s">
        <v>1183</v>
      </c>
      <c r="AH279" s="3" t="s">
        <v>1183</v>
      </c>
      <c r="AI279" s="3" t="s">
        <v>1183</v>
      </c>
      <c r="AJ279" s="3" t="s">
        <v>1183</v>
      </c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6">
        <v>43.4</v>
      </c>
      <c r="BF279" s="6">
        <v>3</v>
      </c>
      <c r="BG279" s="6">
        <v>45</v>
      </c>
    </row>
    <row r="280" spans="1:59" ht="15.75" x14ac:dyDescent="0.25">
      <c r="A280" s="3">
        <v>316</v>
      </c>
      <c r="B280" s="3" t="s">
        <v>1095</v>
      </c>
      <c r="C280" s="3" t="s">
        <v>868</v>
      </c>
      <c r="D280" s="3" t="s">
        <v>1657</v>
      </c>
      <c r="E280" s="3" t="s">
        <v>1057</v>
      </c>
      <c r="F280" s="3" t="s">
        <v>1715</v>
      </c>
      <c r="G280" s="3" t="s">
        <v>1096</v>
      </c>
      <c r="H280" s="3" t="s">
        <v>1097</v>
      </c>
      <c r="I280" s="3"/>
      <c r="J280" s="4" t="b">
        <v>0</v>
      </c>
      <c r="K280" s="3" t="str">
        <f t="shared" si="13"/>
        <v/>
      </c>
      <c r="L280" s="3"/>
      <c r="M280" s="3"/>
      <c r="N280" s="3" t="b">
        <v>0</v>
      </c>
      <c r="O280" s="3"/>
      <c r="P280" s="3"/>
      <c r="Q280" s="3"/>
      <c r="R280" s="3" t="s">
        <v>1181</v>
      </c>
      <c r="S280" s="3" t="s">
        <v>264</v>
      </c>
      <c r="T280" s="3" t="s">
        <v>26</v>
      </c>
      <c r="U280" s="3" t="b">
        <v>0</v>
      </c>
      <c r="V280" s="3"/>
      <c r="W280" s="3" t="e">
        <f t="shared" si="12"/>
        <v>#VALUE!</v>
      </c>
      <c r="X280" s="3"/>
      <c r="Y280" s="3"/>
      <c r="Z280" s="3"/>
      <c r="AA280" s="3" t="str">
        <f t="shared" si="14"/>
        <v>Species</v>
      </c>
      <c r="AB280" s="3"/>
      <c r="AC280" s="3" t="s">
        <v>1183</v>
      </c>
      <c r="AD280" s="3" t="s">
        <v>1183</v>
      </c>
      <c r="AE280" s="3"/>
      <c r="AF280" s="5" t="s">
        <v>1183</v>
      </c>
      <c r="AG280" s="3" t="s">
        <v>1658</v>
      </c>
      <c r="AH280" s="3">
        <v>6</v>
      </c>
      <c r="AI280" s="3">
        <v>15</v>
      </c>
      <c r="AJ280" s="3">
        <v>3</v>
      </c>
      <c r="AK280" s="3">
        <v>7</v>
      </c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6">
        <v>13</v>
      </c>
      <c r="BF280" s="6">
        <v>1</v>
      </c>
      <c r="BG280" s="6">
        <v>13</v>
      </c>
    </row>
    <row r="281" spans="1:59" ht="15.75" x14ac:dyDescent="0.25">
      <c r="A281" s="3">
        <v>260</v>
      </c>
      <c r="B281" s="3" t="s">
        <v>1079</v>
      </c>
      <c r="C281" s="3" t="s">
        <v>868</v>
      </c>
      <c r="D281" s="3" t="s">
        <v>1657</v>
      </c>
      <c r="E281" s="3" t="s">
        <v>1057</v>
      </c>
      <c r="F281" s="3" t="s">
        <v>1659</v>
      </c>
      <c r="G281" s="3" t="s">
        <v>1080</v>
      </c>
      <c r="H281" s="3" t="s">
        <v>1081</v>
      </c>
      <c r="I281" s="3" t="s">
        <v>1660</v>
      </c>
      <c r="J281" s="4" t="b">
        <v>0</v>
      </c>
      <c r="K281" s="3" t="str">
        <f t="shared" si="13"/>
        <v/>
      </c>
      <c r="L281" s="3"/>
      <c r="M281" s="3"/>
      <c r="N281" s="3" t="b">
        <v>0</v>
      </c>
      <c r="O281" s="3"/>
      <c r="P281" s="3">
        <v>40</v>
      </c>
      <c r="Q281" s="3"/>
      <c r="R281" s="3" t="s">
        <v>1181</v>
      </c>
      <c r="S281" s="3"/>
      <c r="T281" s="3" t="s">
        <v>26</v>
      </c>
      <c r="U281" s="3" t="b">
        <v>0</v>
      </c>
      <c r="V281" s="3">
        <v>0.34999999403953602</v>
      </c>
      <c r="W281" s="3" t="str">
        <f t="shared" si="12"/>
        <v/>
      </c>
      <c r="X281" s="3">
        <v>9</v>
      </c>
      <c r="Y281" s="3">
        <v>0.79000002145767201</v>
      </c>
      <c r="Z281" s="3"/>
      <c r="AA281" s="3" t="str">
        <f t="shared" si="14"/>
        <v>Species</v>
      </c>
      <c r="AB281" s="3" t="s">
        <v>1183</v>
      </c>
      <c r="AC281" s="3" t="s">
        <v>1183</v>
      </c>
      <c r="AD281" s="3" t="s">
        <v>1183</v>
      </c>
      <c r="AE281" s="3" t="s">
        <v>1183</v>
      </c>
      <c r="AF281" s="5" t="s">
        <v>1183</v>
      </c>
      <c r="AG281" s="3" t="s">
        <v>1183</v>
      </c>
      <c r="AH281" s="3" t="s">
        <v>1183</v>
      </c>
      <c r="AI281" s="3" t="s">
        <v>1183</v>
      </c>
      <c r="AJ281" s="3" t="s">
        <v>1183</v>
      </c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6">
        <v>89.06</v>
      </c>
      <c r="BF281" s="6">
        <v>7</v>
      </c>
      <c r="BG281" s="6">
        <v>89.9</v>
      </c>
    </row>
    <row r="282" spans="1:59" ht="15.75" x14ac:dyDescent="0.25">
      <c r="A282" s="3">
        <v>315</v>
      </c>
      <c r="B282" s="3" t="s">
        <v>1066</v>
      </c>
      <c r="C282" s="3" t="s">
        <v>868</v>
      </c>
      <c r="D282" s="3" t="s">
        <v>1657</v>
      </c>
      <c r="E282" s="3" t="s">
        <v>1057</v>
      </c>
      <c r="F282" s="3" t="s">
        <v>1714</v>
      </c>
      <c r="G282" s="3" t="s">
        <v>1067</v>
      </c>
      <c r="H282" s="3" t="s">
        <v>1068</v>
      </c>
      <c r="I282" s="3"/>
      <c r="J282" s="4" t="b">
        <v>1</v>
      </c>
      <c r="K282" s="3" t="str">
        <f t="shared" si="13"/>
        <v/>
      </c>
      <c r="L282" s="3"/>
      <c r="M282" s="3"/>
      <c r="N282" s="3" t="b">
        <v>0</v>
      </c>
      <c r="O282" s="3"/>
      <c r="P282" s="3"/>
      <c r="Q282" s="3"/>
      <c r="R282" s="3" t="s">
        <v>1181</v>
      </c>
      <c r="S282" s="3" t="s">
        <v>264</v>
      </c>
      <c r="T282" s="3" t="s">
        <v>26</v>
      </c>
      <c r="U282" s="3" t="b">
        <v>0</v>
      </c>
      <c r="V282" s="3"/>
      <c r="W282" s="3" t="e">
        <f t="shared" si="12"/>
        <v>#VALUE!</v>
      </c>
      <c r="X282" s="3"/>
      <c r="Y282" s="3"/>
      <c r="Z282" s="3"/>
      <c r="AA282" s="3" t="str">
        <f t="shared" si="14"/>
        <v>Species</v>
      </c>
      <c r="AB282" s="3"/>
      <c r="AC282" s="3" t="s">
        <v>1183</v>
      </c>
      <c r="AD282" s="3" t="s">
        <v>1183</v>
      </c>
      <c r="AE282" s="3"/>
      <c r="AF282" s="5" t="s">
        <v>1183</v>
      </c>
      <c r="AG282" s="3" t="s">
        <v>1661</v>
      </c>
      <c r="AH282" s="3">
        <v>6</v>
      </c>
      <c r="AI282" s="3">
        <v>15</v>
      </c>
      <c r="AJ282" s="3">
        <v>3</v>
      </c>
      <c r="AK282" s="3">
        <v>7</v>
      </c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6">
        <v>20.399999999999999</v>
      </c>
      <c r="BF282" s="6">
        <v>2</v>
      </c>
      <c r="BG282" s="6">
        <v>22</v>
      </c>
    </row>
    <row r="283" spans="1:59" ht="15.75" x14ac:dyDescent="0.25">
      <c r="A283" s="3">
        <v>261</v>
      </c>
      <c r="B283" s="3" t="s">
        <v>1089</v>
      </c>
      <c r="C283" s="3" t="s">
        <v>868</v>
      </c>
      <c r="D283" s="3" t="s">
        <v>1657</v>
      </c>
      <c r="E283" s="3" t="s">
        <v>1057</v>
      </c>
      <c r="F283" s="3" t="s">
        <v>1662</v>
      </c>
      <c r="G283" s="3" t="s">
        <v>1090</v>
      </c>
      <c r="H283" s="3" t="s">
        <v>1091</v>
      </c>
      <c r="I283" s="3"/>
      <c r="J283" s="4" t="b">
        <v>1</v>
      </c>
      <c r="K283" s="3">
        <f t="shared" si="13"/>
        <v>100</v>
      </c>
      <c r="L283" s="3"/>
      <c r="M283" s="3"/>
      <c r="N283" s="3" t="b">
        <v>0</v>
      </c>
      <c r="O283" s="3"/>
      <c r="P283" s="3">
        <v>25</v>
      </c>
      <c r="Q283" s="3" t="s">
        <v>1584</v>
      </c>
      <c r="R283" s="3" t="s">
        <v>1181</v>
      </c>
      <c r="S283" s="3"/>
      <c r="T283" s="3" t="s">
        <v>26</v>
      </c>
      <c r="U283" s="3" t="b">
        <v>0</v>
      </c>
      <c r="V283" s="3">
        <v>0.46999999880790699</v>
      </c>
      <c r="W283" s="3" t="str">
        <f t="shared" si="12"/>
        <v/>
      </c>
      <c r="X283" s="3">
        <v>9</v>
      </c>
      <c r="Y283" s="3">
        <v>0.79000002145767201</v>
      </c>
      <c r="Z283" s="3"/>
      <c r="AA283" s="3" t="str">
        <f t="shared" si="14"/>
        <v>Species</v>
      </c>
      <c r="AB283" s="3">
        <v>30</v>
      </c>
      <c r="AC283" s="3">
        <v>100</v>
      </c>
      <c r="AD283" s="3" t="s">
        <v>1208</v>
      </c>
      <c r="AE283" s="3">
        <v>30</v>
      </c>
      <c r="AF283" s="5">
        <v>100</v>
      </c>
      <c r="AG283" s="3" t="s">
        <v>1183</v>
      </c>
      <c r="AH283" s="3" t="s">
        <v>1183</v>
      </c>
      <c r="AI283" s="3" t="s">
        <v>1183</v>
      </c>
      <c r="AJ283" s="3" t="s">
        <v>1183</v>
      </c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6">
        <v>93.020001220703122</v>
      </c>
      <c r="BF283" s="6">
        <v>69</v>
      </c>
      <c r="BG283" s="6">
        <v>150</v>
      </c>
    </row>
    <row r="284" spans="1:59" ht="15.75" x14ac:dyDescent="0.25">
      <c r="A284" s="3">
        <v>262</v>
      </c>
      <c r="B284" s="3" t="s">
        <v>1085</v>
      </c>
      <c r="C284" s="3" t="s">
        <v>868</v>
      </c>
      <c r="D284" s="3" t="s">
        <v>1657</v>
      </c>
      <c r="E284" s="3" t="s">
        <v>1057</v>
      </c>
      <c r="F284" s="3" t="s">
        <v>1663</v>
      </c>
      <c r="G284" s="3" t="s">
        <v>1086</v>
      </c>
      <c r="H284" s="3" t="s">
        <v>1087</v>
      </c>
      <c r="I284" s="3"/>
      <c r="J284" s="4" t="b">
        <v>0</v>
      </c>
      <c r="K284" s="3" t="str">
        <f t="shared" si="13"/>
        <v/>
      </c>
      <c r="L284" s="3"/>
      <c r="M284" s="3"/>
      <c r="N284" s="3" t="b">
        <v>0</v>
      </c>
      <c r="O284" s="3"/>
      <c r="P284" s="3">
        <v>40</v>
      </c>
      <c r="Q284" s="3"/>
      <c r="R284" s="3" t="s">
        <v>1181</v>
      </c>
      <c r="S284" s="3" t="s">
        <v>1088</v>
      </c>
      <c r="T284" s="3" t="s">
        <v>26</v>
      </c>
      <c r="U284" s="3" t="b">
        <v>0</v>
      </c>
      <c r="V284" s="3">
        <v>0.54000002145767201</v>
      </c>
      <c r="W284" s="3" t="e">
        <f t="shared" si="12"/>
        <v>#VALUE!</v>
      </c>
      <c r="X284" s="3">
        <v>9</v>
      </c>
      <c r="Y284" s="3">
        <v>0.79000002145767201</v>
      </c>
      <c r="Z284" s="3"/>
      <c r="AA284" s="3" t="str">
        <f t="shared" si="14"/>
        <v>Species</v>
      </c>
      <c r="AB284" s="3" t="s">
        <v>1183</v>
      </c>
      <c r="AC284" s="3" t="s">
        <v>1183</v>
      </c>
      <c r="AD284" s="3" t="s">
        <v>1183</v>
      </c>
      <c r="AE284" s="3" t="s">
        <v>1183</v>
      </c>
      <c r="AF284" s="5" t="s">
        <v>1183</v>
      </c>
      <c r="AG284" s="3" t="s">
        <v>1183</v>
      </c>
      <c r="AH284" s="3" t="s">
        <v>1183</v>
      </c>
      <c r="AI284" s="3" t="s">
        <v>1183</v>
      </c>
      <c r="AJ284" s="3" t="s">
        <v>1183</v>
      </c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6">
        <v>39</v>
      </c>
      <c r="BF284" s="6">
        <v>26</v>
      </c>
      <c r="BG284" s="6">
        <v>150</v>
      </c>
    </row>
    <row r="285" spans="1:59" ht="15.75" x14ac:dyDescent="0.25">
      <c r="A285" s="3">
        <v>263</v>
      </c>
      <c r="B285" s="3" t="s">
        <v>1076</v>
      </c>
      <c r="C285" s="3" t="s">
        <v>868</v>
      </c>
      <c r="D285" s="3" t="s">
        <v>1657</v>
      </c>
      <c r="E285" s="3" t="s">
        <v>1057</v>
      </c>
      <c r="F285" s="3" t="s">
        <v>1664</v>
      </c>
      <c r="G285" s="3" t="s">
        <v>1077</v>
      </c>
      <c r="H285" s="3" t="s">
        <v>1078</v>
      </c>
      <c r="I285" s="3"/>
      <c r="J285" s="4" t="b">
        <v>0</v>
      </c>
      <c r="K285" s="3">
        <f t="shared" si="13"/>
        <v>100</v>
      </c>
      <c r="L285" s="3"/>
      <c r="M285" s="3"/>
      <c r="N285" s="3" t="b">
        <v>0</v>
      </c>
      <c r="O285" s="3"/>
      <c r="P285" s="3">
        <v>73.800003051757798</v>
      </c>
      <c r="Q285" s="3"/>
      <c r="R285" s="3" t="s">
        <v>1181</v>
      </c>
      <c r="S285" s="3"/>
      <c r="T285" s="3" t="s">
        <v>26</v>
      </c>
      <c r="U285" s="3" t="b">
        <v>0</v>
      </c>
      <c r="V285" s="3">
        <v>0.34999999403953602</v>
      </c>
      <c r="W285" s="3" t="str">
        <f t="shared" si="12"/>
        <v/>
      </c>
      <c r="X285" s="3">
        <v>9</v>
      </c>
      <c r="Y285" s="3">
        <v>0.79000002145767201</v>
      </c>
      <c r="Z285" s="3"/>
      <c r="AA285" s="3" t="str">
        <f t="shared" si="14"/>
        <v>Species</v>
      </c>
      <c r="AB285" s="3">
        <v>100</v>
      </c>
      <c r="AC285" s="3" t="s">
        <v>1183</v>
      </c>
      <c r="AD285" s="3" t="s">
        <v>1183</v>
      </c>
      <c r="AE285" s="3">
        <v>100</v>
      </c>
      <c r="AF285" s="5">
        <v>100</v>
      </c>
      <c r="AG285" s="3" t="s">
        <v>1183</v>
      </c>
      <c r="AH285" s="3" t="s">
        <v>1183</v>
      </c>
      <c r="AI285" s="3" t="s">
        <v>1183</v>
      </c>
      <c r="AJ285" s="3" t="s">
        <v>1183</v>
      </c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6">
        <v>95</v>
      </c>
      <c r="BF285" s="6">
        <v>21</v>
      </c>
      <c r="BG285" s="6">
        <v>134</v>
      </c>
    </row>
    <row r="286" spans="1:59" ht="15.75" x14ac:dyDescent="0.25">
      <c r="A286" s="3">
        <v>317</v>
      </c>
      <c r="B286" s="3" t="s">
        <v>1092</v>
      </c>
      <c r="C286" s="3" t="s">
        <v>868</v>
      </c>
      <c r="D286" s="3" t="s">
        <v>1657</v>
      </c>
      <c r="E286" s="3" t="s">
        <v>1057</v>
      </c>
      <c r="F286" s="3" t="s">
        <v>1716</v>
      </c>
      <c r="G286" s="3" t="s">
        <v>1093</v>
      </c>
      <c r="H286" s="3" t="s">
        <v>1094</v>
      </c>
      <c r="I286" s="3"/>
      <c r="J286" s="4" t="b">
        <v>1</v>
      </c>
      <c r="K286" s="3" t="str">
        <f t="shared" si="13"/>
        <v/>
      </c>
      <c r="L286" s="3"/>
      <c r="M286" s="3"/>
      <c r="N286" s="3" t="b">
        <v>0</v>
      </c>
      <c r="O286" s="3"/>
      <c r="P286" s="3"/>
      <c r="Q286" s="3"/>
      <c r="R286" s="3" t="s">
        <v>1181</v>
      </c>
      <c r="S286" s="3" t="s">
        <v>264</v>
      </c>
      <c r="T286" s="3" t="s">
        <v>26</v>
      </c>
      <c r="U286" s="3" t="b">
        <v>0</v>
      </c>
      <c r="V286" s="3"/>
      <c r="W286" s="3" t="e">
        <f t="shared" si="12"/>
        <v>#VALUE!</v>
      </c>
      <c r="X286" s="3"/>
      <c r="Y286" s="3"/>
      <c r="Z286" s="3"/>
      <c r="AA286" s="3" t="str">
        <f t="shared" si="14"/>
        <v>Species</v>
      </c>
      <c r="AB286" s="3"/>
      <c r="AC286" s="3" t="s">
        <v>1183</v>
      </c>
      <c r="AD286" s="3" t="s">
        <v>1183</v>
      </c>
      <c r="AE286" s="3"/>
      <c r="AF286" s="5" t="s">
        <v>1183</v>
      </c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6">
        <v>17.5</v>
      </c>
      <c r="BF286" s="6">
        <v>2</v>
      </c>
      <c r="BG286" s="6">
        <v>18</v>
      </c>
    </row>
    <row r="287" spans="1:59" ht="15.75" x14ac:dyDescent="0.25">
      <c r="A287" s="3">
        <v>264</v>
      </c>
      <c r="B287" s="3" t="s">
        <v>1069</v>
      </c>
      <c r="C287" s="3" t="s">
        <v>868</v>
      </c>
      <c r="D287" s="3" t="s">
        <v>1657</v>
      </c>
      <c r="E287" s="3" t="s">
        <v>1057</v>
      </c>
      <c r="F287" s="3" t="s">
        <v>1665</v>
      </c>
      <c r="G287" s="3" t="s">
        <v>1070</v>
      </c>
      <c r="H287" s="3" t="s">
        <v>1071</v>
      </c>
      <c r="I287" s="3"/>
      <c r="J287" s="4" t="b">
        <v>0</v>
      </c>
      <c r="K287" s="3" t="str">
        <f t="shared" si="13"/>
        <v/>
      </c>
      <c r="L287" s="3"/>
      <c r="M287" s="3"/>
      <c r="N287" s="3" t="b">
        <v>0</v>
      </c>
      <c r="O287" s="3"/>
      <c r="P287" s="3">
        <v>40</v>
      </c>
      <c r="Q287" s="3"/>
      <c r="R287" s="3" t="s">
        <v>1181</v>
      </c>
      <c r="S287" s="3"/>
      <c r="T287" s="3" t="s">
        <v>26</v>
      </c>
      <c r="U287" s="3" t="b">
        <v>0</v>
      </c>
      <c r="V287" s="3">
        <v>0.44999998807907099</v>
      </c>
      <c r="W287" s="3" t="str">
        <f t="shared" si="12"/>
        <v/>
      </c>
      <c r="X287" s="3">
        <v>9</v>
      </c>
      <c r="Y287" s="3">
        <v>0.79000002145767201</v>
      </c>
      <c r="Z287" s="3"/>
      <c r="AA287" s="3" t="str">
        <f t="shared" si="14"/>
        <v>Species</v>
      </c>
      <c r="AB287" s="3" t="s">
        <v>1183</v>
      </c>
      <c r="AC287" s="3" t="s">
        <v>1183</v>
      </c>
      <c r="AD287" s="3" t="s">
        <v>1183</v>
      </c>
      <c r="AE287" s="3" t="s">
        <v>1183</v>
      </c>
      <c r="AF287" s="5" t="s">
        <v>1183</v>
      </c>
      <c r="AG287" s="3" t="s">
        <v>1183</v>
      </c>
      <c r="AH287" s="3" t="s">
        <v>1183</v>
      </c>
      <c r="AI287" s="3" t="s">
        <v>1183</v>
      </c>
      <c r="AJ287" s="3" t="s">
        <v>1183</v>
      </c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6" t="e">
        <v>#NUM!</v>
      </c>
      <c r="BF287" s="6">
        <v>0</v>
      </c>
      <c r="BG287" s="6" t="e">
        <v>#NUM!</v>
      </c>
    </row>
    <row r="288" spans="1:59" ht="15.75" x14ac:dyDescent="0.25">
      <c r="A288" s="3">
        <v>265</v>
      </c>
      <c r="B288" s="3" t="s">
        <v>1060</v>
      </c>
      <c r="C288" s="3" t="s">
        <v>868</v>
      </c>
      <c r="D288" s="3" t="s">
        <v>1657</v>
      </c>
      <c r="E288" s="3" t="s">
        <v>1057</v>
      </c>
      <c r="F288" s="3" t="s">
        <v>1666</v>
      </c>
      <c r="G288" s="3" t="s">
        <v>1061</v>
      </c>
      <c r="H288" s="3" t="s">
        <v>1062</v>
      </c>
      <c r="I288" s="3"/>
      <c r="J288" s="4" t="b">
        <v>0</v>
      </c>
      <c r="K288" s="3" t="str">
        <f t="shared" si="13"/>
        <v/>
      </c>
      <c r="L288" s="3"/>
      <c r="M288" s="3"/>
      <c r="N288" s="3" t="b">
        <v>0</v>
      </c>
      <c r="O288" s="3"/>
      <c r="P288" s="3">
        <v>25.5</v>
      </c>
      <c r="Q288" s="3"/>
      <c r="R288" s="3" t="s">
        <v>1181</v>
      </c>
      <c r="S288" s="3"/>
      <c r="T288" s="3" t="s">
        <v>26</v>
      </c>
      <c r="U288" s="3" t="b">
        <v>0</v>
      </c>
      <c r="V288" s="3">
        <v>0.34999999403953602</v>
      </c>
      <c r="W288" s="3" t="str">
        <f t="shared" si="12"/>
        <v/>
      </c>
      <c r="X288" s="3">
        <v>9</v>
      </c>
      <c r="Y288" s="3">
        <v>0.79000002145767201</v>
      </c>
      <c r="Z288" s="3"/>
      <c r="AA288" s="3" t="str">
        <f t="shared" si="14"/>
        <v>Species</v>
      </c>
      <c r="AB288" s="3">
        <v>40</v>
      </c>
      <c r="AC288" s="3" t="s">
        <v>1183</v>
      </c>
      <c r="AD288" s="3" t="s">
        <v>1183</v>
      </c>
      <c r="AE288" s="3">
        <v>40</v>
      </c>
      <c r="AF288" s="5" t="s">
        <v>1183</v>
      </c>
      <c r="AG288" s="3" t="s">
        <v>1183</v>
      </c>
      <c r="AH288" s="3" t="s">
        <v>1183</v>
      </c>
      <c r="AI288" s="3" t="s">
        <v>1183</v>
      </c>
      <c r="AJ288" s="3" t="s">
        <v>1183</v>
      </c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6" t="e">
        <v>#NUM!</v>
      </c>
      <c r="BF288" s="6">
        <v>0</v>
      </c>
      <c r="BG288" s="6" t="e">
        <v>#NUM!</v>
      </c>
    </row>
    <row r="289" spans="1:59" ht="15.75" x14ac:dyDescent="0.25">
      <c r="A289" s="3">
        <v>266</v>
      </c>
      <c r="B289" s="3" t="s">
        <v>1072</v>
      </c>
      <c r="C289" s="3" t="s">
        <v>868</v>
      </c>
      <c r="D289" s="3" t="s">
        <v>1657</v>
      </c>
      <c r="E289" s="3" t="s">
        <v>1057</v>
      </c>
      <c r="F289" s="3" t="s">
        <v>1667</v>
      </c>
      <c r="G289" s="3" t="s">
        <v>1073</v>
      </c>
      <c r="H289" s="3" t="s">
        <v>1074</v>
      </c>
      <c r="I289" s="3"/>
      <c r="J289" s="4" t="b">
        <v>1</v>
      </c>
      <c r="K289" s="3">
        <f t="shared" si="13"/>
        <v>5</v>
      </c>
      <c r="L289" s="3"/>
      <c r="M289" s="3"/>
      <c r="N289" s="3" t="b">
        <v>0</v>
      </c>
      <c r="O289" s="3"/>
      <c r="P289" s="3">
        <v>40</v>
      </c>
      <c r="Q289" s="3"/>
      <c r="R289" s="3" t="s">
        <v>1181</v>
      </c>
      <c r="S289" s="3" t="s">
        <v>1075</v>
      </c>
      <c r="T289" s="3" t="s">
        <v>26</v>
      </c>
      <c r="U289" s="3" t="b">
        <v>0</v>
      </c>
      <c r="V289" s="3">
        <v>0.40000000596046398</v>
      </c>
      <c r="W289" s="3" t="e">
        <f t="shared" si="12"/>
        <v>#VALUE!</v>
      </c>
      <c r="X289" s="3">
        <v>9</v>
      </c>
      <c r="Y289" s="3">
        <v>0.79000002145767201</v>
      </c>
      <c r="Z289" s="3"/>
      <c r="AA289" s="3" t="str">
        <f t="shared" si="14"/>
        <v>Species</v>
      </c>
      <c r="AB289" s="3" t="s">
        <v>1183</v>
      </c>
      <c r="AC289" s="3" t="s">
        <v>1183</v>
      </c>
      <c r="AD289" s="3" t="s">
        <v>1183</v>
      </c>
      <c r="AE289" s="3" t="s">
        <v>1183</v>
      </c>
      <c r="AF289" s="5">
        <v>5</v>
      </c>
      <c r="AG289" s="3" t="s">
        <v>1183</v>
      </c>
      <c r="AH289" s="3" t="s">
        <v>1183</v>
      </c>
      <c r="AI289" s="3" t="s">
        <v>1183</v>
      </c>
      <c r="AJ289" s="3" t="s">
        <v>1183</v>
      </c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6">
        <v>72</v>
      </c>
      <c r="BF289" s="6">
        <v>41</v>
      </c>
      <c r="BG289" s="6">
        <v>112</v>
      </c>
    </row>
    <row r="290" spans="1:59" ht="15.75" x14ac:dyDescent="0.25">
      <c r="A290" s="3">
        <v>267</v>
      </c>
      <c r="B290" s="3" t="s">
        <v>1082</v>
      </c>
      <c r="C290" s="3" t="s">
        <v>868</v>
      </c>
      <c r="D290" s="3" t="s">
        <v>1657</v>
      </c>
      <c r="E290" s="3" t="s">
        <v>1057</v>
      </c>
      <c r="F290" s="3" t="s">
        <v>1668</v>
      </c>
      <c r="G290" s="3" t="s">
        <v>1083</v>
      </c>
      <c r="H290" s="3" t="s">
        <v>1084</v>
      </c>
      <c r="I290" s="3"/>
      <c r="J290" s="4" t="b">
        <v>1</v>
      </c>
      <c r="K290" s="3" t="str">
        <f t="shared" si="13"/>
        <v/>
      </c>
      <c r="L290" s="3"/>
      <c r="M290" s="3"/>
      <c r="N290" s="3" t="b">
        <v>0</v>
      </c>
      <c r="O290" s="3"/>
      <c r="P290" s="3">
        <v>40</v>
      </c>
      <c r="Q290" s="3"/>
      <c r="R290" s="3" t="s">
        <v>1181</v>
      </c>
      <c r="S290" s="3"/>
      <c r="T290" s="3" t="s">
        <v>26</v>
      </c>
      <c r="U290" s="3" t="b">
        <v>0</v>
      </c>
      <c r="V290" s="3">
        <v>0.34999999403953602</v>
      </c>
      <c r="W290" s="3" t="str">
        <f t="shared" si="12"/>
        <v/>
      </c>
      <c r="X290" s="3">
        <v>9</v>
      </c>
      <c r="Y290" s="3">
        <v>0.79000002145767201</v>
      </c>
      <c r="Z290" s="3"/>
      <c r="AA290" s="3" t="str">
        <f t="shared" si="14"/>
        <v>Species</v>
      </c>
      <c r="AB290" s="3" t="s">
        <v>1183</v>
      </c>
      <c r="AC290" s="3" t="s">
        <v>1183</v>
      </c>
      <c r="AD290" s="3" t="s">
        <v>1183</v>
      </c>
      <c r="AE290" s="3" t="s">
        <v>1183</v>
      </c>
      <c r="AF290" s="5" t="s">
        <v>1183</v>
      </c>
      <c r="AG290" s="3" t="s">
        <v>1183</v>
      </c>
      <c r="AH290" s="3" t="s">
        <v>1183</v>
      </c>
      <c r="AI290" s="3" t="s">
        <v>1183</v>
      </c>
      <c r="AJ290" s="3" t="s">
        <v>1183</v>
      </c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6">
        <v>19</v>
      </c>
      <c r="BF290" s="6">
        <v>3</v>
      </c>
      <c r="BG290" s="6">
        <v>20</v>
      </c>
    </row>
    <row r="291" spans="1:59" ht="15.75" x14ac:dyDescent="0.25">
      <c r="A291" s="3">
        <v>269</v>
      </c>
      <c r="B291" s="3" t="s">
        <v>1098</v>
      </c>
      <c r="C291" s="3" t="s">
        <v>868</v>
      </c>
      <c r="D291" s="3" t="s">
        <v>1657</v>
      </c>
      <c r="E291" s="3" t="s">
        <v>1057</v>
      </c>
      <c r="F291" s="3" t="s">
        <v>1669</v>
      </c>
      <c r="G291" s="3" t="s">
        <v>1099</v>
      </c>
      <c r="H291" s="3" t="s">
        <v>1100</v>
      </c>
      <c r="I291" s="3"/>
      <c r="J291" s="4" t="s">
        <v>1188</v>
      </c>
      <c r="K291" s="3" t="str">
        <f t="shared" si="13"/>
        <v/>
      </c>
      <c r="L291" s="3"/>
      <c r="M291" s="3"/>
      <c r="N291" s="3" t="b">
        <v>0</v>
      </c>
      <c r="O291" s="3"/>
      <c r="P291" s="3"/>
      <c r="Q291" s="3"/>
      <c r="R291" s="3" t="s">
        <v>1181</v>
      </c>
      <c r="S291" s="3"/>
      <c r="T291" s="3"/>
      <c r="U291" s="3"/>
      <c r="V291" s="3"/>
      <c r="W291" s="3" t="str">
        <f t="shared" si="12"/>
        <v/>
      </c>
      <c r="X291" s="3">
        <v>9</v>
      </c>
      <c r="Y291" s="3">
        <v>0.79000002145767201</v>
      </c>
      <c r="Z291" s="3"/>
      <c r="AA291" s="3" t="str">
        <f t="shared" si="14"/>
        <v>Genus</v>
      </c>
      <c r="AB291" s="3" t="s">
        <v>1183</v>
      </c>
      <c r="AC291" s="3" t="s">
        <v>1183</v>
      </c>
      <c r="AD291" s="3" t="s">
        <v>1183</v>
      </c>
      <c r="AE291" s="3" t="s">
        <v>1183</v>
      </c>
      <c r="AF291" s="5"/>
      <c r="AG291" s="3" t="s">
        <v>1183</v>
      </c>
      <c r="AH291" s="3" t="s">
        <v>1183</v>
      </c>
      <c r="AI291" s="3" t="s">
        <v>1183</v>
      </c>
      <c r="AJ291" s="3" t="s">
        <v>1183</v>
      </c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6">
        <v>70.200000000000017</v>
      </c>
      <c r="BF291" s="6">
        <v>33</v>
      </c>
      <c r="BG291" s="6">
        <v>193</v>
      </c>
    </row>
    <row r="292" spans="1:59" ht="15.75" x14ac:dyDescent="0.25">
      <c r="A292" s="3">
        <v>270</v>
      </c>
      <c r="B292" s="3" t="s">
        <v>1063</v>
      </c>
      <c r="C292" s="3" t="s">
        <v>868</v>
      </c>
      <c r="D292" s="3" t="s">
        <v>1657</v>
      </c>
      <c r="E292" s="3" t="s">
        <v>1057</v>
      </c>
      <c r="F292" s="3" t="s">
        <v>1670</v>
      </c>
      <c r="G292" s="3" t="s">
        <v>1064</v>
      </c>
      <c r="H292" s="3" t="s">
        <v>1065</v>
      </c>
      <c r="I292" s="3"/>
      <c r="J292" s="4" t="b">
        <v>0</v>
      </c>
      <c r="K292" s="3">
        <f t="shared" si="13"/>
        <v>100</v>
      </c>
      <c r="L292" s="3"/>
      <c r="M292" s="3"/>
      <c r="N292" s="3" t="b">
        <v>0</v>
      </c>
      <c r="O292" s="3"/>
      <c r="P292" s="3">
        <v>40</v>
      </c>
      <c r="Q292" s="3"/>
      <c r="R292" s="3" t="s">
        <v>1181</v>
      </c>
      <c r="S292" s="3"/>
      <c r="T292" s="3" t="s">
        <v>26</v>
      </c>
      <c r="U292" s="3" t="b">
        <v>0</v>
      </c>
      <c r="V292" s="3">
        <v>0.34999999403953602</v>
      </c>
      <c r="W292" s="3" t="str">
        <f t="shared" si="12"/>
        <v/>
      </c>
      <c r="X292" s="3">
        <v>9</v>
      </c>
      <c r="Y292" s="3">
        <v>0.79000002145767201</v>
      </c>
      <c r="Z292" s="3"/>
      <c r="AA292" s="3" t="str">
        <f t="shared" si="14"/>
        <v>Species</v>
      </c>
      <c r="AB292" s="3" t="s">
        <v>1183</v>
      </c>
      <c r="AC292" s="3" t="s">
        <v>1183</v>
      </c>
      <c r="AD292" s="3" t="s">
        <v>1183</v>
      </c>
      <c r="AE292" s="3" t="s">
        <v>1183</v>
      </c>
      <c r="AF292" s="5">
        <v>100</v>
      </c>
      <c r="AG292" s="3" t="s">
        <v>1183</v>
      </c>
      <c r="AH292" s="3" t="s">
        <v>1183</v>
      </c>
      <c r="AI292" s="3" t="s">
        <v>1183</v>
      </c>
      <c r="AJ292" s="3" t="s">
        <v>1183</v>
      </c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6">
        <v>134.70000000000002</v>
      </c>
      <c r="BF292" s="6">
        <v>82</v>
      </c>
      <c r="BG292" s="6">
        <v>178</v>
      </c>
    </row>
    <row r="293" spans="1:59" ht="15.75" x14ac:dyDescent="0.25">
      <c r="A293" s="3">
        <v>271</v>
      </c>
      <c r="B293" s="3" t="s">
        <v>1056</v>
      </c>
      <c r="C293" s="3" t="s">
        <v>868</v>
      </c>
      <c r="D293" s="3" t="s">
        <v>1657</v>
      </c>
      <c r="E293" s="3" t="s">
        <v>1057</v>
      </c>
      <c r="F293" s="3" t="s">
        <v>1671</v>
      </c>
      <c r="G293" s="3" t="s">
        <v>1058</v>
      </c>
      <c r="H293" s="3" t="s">
        <v>1059</v>
      </c>
      <c r="I293" s="3"/>
      <c r="J293" s="4" t="b">
        <v>0</v>
      </c>
      <c r="K293" s="3">
        <f t="shared" si="13"/>
        <v>100</v>
      </c>
      <c r="L293" s="3"/>
      <c r="M293" s="3"/>
      <c r="N293" s="3" t="b">
        <v>1</v>
      </c>
      <c r="O293" s="3"/>
      <c r="P293" s="3">
        <v>90</v>
      </c>
      <c r="Q293" s="3"/>
      <c r="R293" s="3" t="s">
        <v>1181</v>
      </c>
      <c r="S293" s="3" t="s">
        <v>65</v>
      </c>
      <c r="T293" s="3" t="s">
        <v>26</v>
      </c>
      <c r="U293" s="3" t="b">
        <v>0</v>
      </c>
      <c r="V293" s="3">
        <v>0.44999998807907099</v>
      </c>
      <c r="W293" s="3" t="e">
        <f t="shared" si="12"/>
        <v>#VALUE!</v>
      </c>
      <c r="X293" s="3">
        <v>9</v>
      </c>
      <c r="Y293" s="3">
        <v>0.79000002145767201</v>
      </c>
      <c r="Z293" s="3"/>
      <c r="AA293" s="3" t="str">
        <f t="shared" si="14"/>
        <v>Species</v>
      </c>
      <c r="AB293" s="3" t="s">
        <v>1183</v>
      </c>
      <c r="AC293" s="3">
        <v>120</v>
      </c>
      <c r="AD293" s="3" t="s">
        <v>1208</v>
      </c>
      <c r="AE293" s="3" t="s">
        <v>1183</v>
      </c>
      <c r="AF293" s="5">
        <v>100</v>
      </c>
      <c r="AG293" s="3" t="s">
        <v>1183</v>
      </c>
      <c r="AH293" s="3" t="s">
        <v>1183</v>
      </c>
      <c r="AI293" s="3" t="s">
        <v>1183</v>
      </c>
      <c r="AJ293" s="3" t="s">
        <v>1183</v>
      </c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6">
        <v>91</v>
      </c>
      <c r="BF293" s="6">
        <v>281</v>
      </c>
      <c r="BG293" s="6">
        <v>189</v>
      </c>
    </row>
    <row r="294" spans="1:59" ht="15.75" x14ac:dyDescent="0.25">
      <c r="A294" s="3">
        <v>272</v>
      </c>
      <c r="B294" s="3" t="s">
        <v>1101</v>
      </c>
      <c r="C294" s="3" t="s">
        <v>450</v>
      </c>
      <c r="D294" s="3" t="s">
        <v>1672</v>
      </c>
      <c r="E294" s="3" t="s">
        <v>1102</v>
      </c>
      <c r="F294" s="3" t="s">
        <v>1673</v>
      </c>
      <c r="G294" s="3" t="s">
        <v>1102</v>
      </c>
      <c r="H294" s="3" t="s">
        <v>1103</v>
      </c>
      <c r="I294" s="3"/>
      <c r="J294" s="4" t="b">
        <v>0</v>
      </c>
      <c r="K294" s="3" t="str">
        <f t="shared" si="13"/>
        <v/>
      </c>
      <c r="L294" s="3"/>
      <c r="M294" s="3"/>
      <c r="N294" s="3" t="b">
        <v>0</v>
      </c>
      <c r="O294" s="3"/>
      <c r="P294" s="3">
        <v>100</v>
      </c>
      <c r="Q294" s="3"/>
      <c r="R294" s="3" t="s">
        <v>1181</v>
      </c>
      <c r="S294" s="3"/>
      <c r="T294" s="3" t="s">
        <v>26</v>
      </c>
      <c r="U294" s="3" t="b">
        <v>0</v>
      </c>
      <c r="V294" s="3">
        <v>0.60000002384185802</v>
      </c>
      <c r="W294" s="3" t="str">
        <f t="shared" si="12"/>
        <v/>
      </c>
      <c r="X294" s="3">
        <v>9</v>
      </c>
      <c r="Y294" s="3">
        <v>0.79000002145767201</v>
      </c>
      <c r="Z294" s="3"/>
      <c r="AA294" s="3" t="str">
        <f t="shared" si="14"/>
        <v>Species</v>
      </c>
      <c r="AB294" s="3" t="s">
        <v>1183</v>
      </c>
      <c r="AC294" s="3" t="s">
        <v>1183</v>
      </c>
      <c r="AD294" s="3" t="s">
        <v>1183</v>
      </c>
      <c r="AE294" s="3" t="s">
        <v>1183</v>
      </c>
      <c r="AF294" s="5" t="s">
        <v>1183</v>
      </c>
      <c r="AG294" s="3" t="s">
        <v>1183</v>
      </c>
      <c r="AH294" s="3" t="s">
        <v>1183</v>
      </c>
      <c r="AI294" s="3" t="s">
        <v>1183</v>
      </c>
      <c r="AJ294" s="3" t="s">
        <v>1183</v>
      </c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6" t="e">
        <v>#NUM!</v>
      </c>
      <c r="BF294" s="6">
        <v>0</v>
      </c>
      <c r="BG294" s="6" t="e">
        <v>#NUM!</v>
      </c>
    </row>
    <row r="295" spans="1:59" ht="15.75" x14ac:dyDescent="0.25">
      <c r="A295" s="3">
        <v>274</v>
      </c>
      <c r="B295" s="3" t="s">
        <v>1107</v>
      </c>
      <c r="C295" s="3" t="s">
        <v>141</v>
      </c>
      <c r="D295" s="3" t="s">
        <v>1674</v>
      </c>
      <c r="E295" s="3" t="s">
        <v>1108</v>
      </c>
      <c r="F295" s="3" t="s">
        <v>1675</v>
      </c>
      <c r="G295" s="3" t="s">
        <v>1109</v>
      </c>
      <c r="H295" s="3" t="s">
        <v>1110</v>
      </c>
      <c r="I295" s="3"/>
      <c r="J295" s="4" t="b">
        <v>0</v>
      </c>
      <c r="K295" s="3">
        <f t="shared" si="13"/>
        <v>15</v>
      </c>
      <c r="L295" s="3"/>
      <c r="M295" s="3"/>
      <c r="N295" s="3" t="b">
        <v>0</v>
      </c>
      <c r="O295" s="3"/>
      <c r="P295" s="3">
        <v>40</v>
      </c>
      <c r="Q295" s="3"/>
      <c r="R295" s="3" t="s">
        <v>1181</v>
      </c>
      <c r="S295" s="3"/>
      <c r="T295" s="3" t="s">
        <v>26</v>
      </c>
      <c r="U295" s="3" t="b">
        <v>0</v>
      </c>
      <c r="V295" s="3">
        <v>0.69999998807907104</v>
      </c>
      <c r="W295" s="3" t="str">
        <f t="shared" si="12"/>
        <v/>
      </c>
      <c r="X295" s="3">
        <v>9</v>
      </c>
      <c r="Y295" s="3">
        <v>0.79000002145767201</v>
      </c>
      <c r="Z295" s="3"/>
      <c r="AA295" s="3" t="str">
        <f t="shared" si="14"/>
        <v>Species</v>
      </c>
      <c r="AB295" s="3" t="s">
        <v>1183</v>
      </c>
      <c r="AC295" s="3" t="s">
        <v>1183</v>
      </c>
      <c r="AD295" s="3" t="s">
        <v>1183</v>
      </c>
      <c r="AE295" s="3" t="s">
        <v>1183</v>
      </c>
      <c r="AF295" s="5">
        <v>15</v>
      </c>
      <c r="AG295" s="3" t="s">
        <v>1183</v>
      </c>
      <c r="AH295" s="3" t="s">
        <v>1183</v>
      </c>
      <c r="AI295" s="3" t="s">
        <v>1183</v>
      </c>
      <c r="AJ295" s="3" t="s">
        <v>1183</v>
      </c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6">
        <v>11.0499997138977</v>
      </c>
      <c r="BF295" s="6">
        <v>36</v>
      </c>
      <c r="BG295" s="6">
        <v>14.6000003814697</v>
      </c>
    </row>
    <row r="296" spans="1:59" ht="15.75" x14ac:dyDescent="0.25">
      <c r="A296" s="3">
        <v>275</v>
      </c>
      <c r="B296" s="3" t="s">
        <v>1116</v>
      </c>
      <c r="C296" s="3" t="s">
        <v>1112</v>
      </c>
      <c r="D296" s="3" t="s">
        <v>1676</v>
      </c>
      <c r="E296" s="3" t="s">
        <v>1113</v>
      </c>
      <c r="F296" s="3" t="s">
        <v>1677</v>
      </c>
      <c r="G296" s="3" t="s">
        <v>1117</v>
      </c>
      <c r="H296" s="3" t="s">
        <v>1118</v>
      </c>
      <c r="I296" s="3"/>
      <c r="J296" s="4" t="b">
        <v>1</v>
      </c>
      <c r="K296" s="3">
        <f t="shared" si="13"/>
        <v>25</v>
      </c>
      <c r="L296" s="3"/>
      <c r="M296" s="3"/>
      <c r="N296" s="3" t="b">
        <v>0</v>
      </c>
      <c r="O296" s="3"/>
      <c r="P296" s="3">
        <v>40</v>
      </c>
      <c r="Q296" s="3"/>
      <c r="R296" s="3" t="s">
        <v>1276</v>
      </c>
      <c r="S296" s="3"/>
      <c r="T296" s="3" t="s">
        <v>26</v>
      </c>
      <c r="U296" s="3" t="b">
        <v>0</v>
      </c>
      <c r="V296" s="3">
        <v>0.69999998807907104</v>
      </c>
      <c r="W296" s="3" t="str">
        <f t="shared" si="12"/>
        <v/>
      </c>
      <c r="X296" s="3">
        <v>9</v>
      </c>
      <c r="Y296" s="3">
        <v>0.79000002145767201</v>
      </c>
      <c r="Z296" s="3"/>
      <c r="AA296" s="3" t="str">
        <f t="shared" si="14"/>
        <v>Species</v>
      </c>
      <c r="AB296" s="3" t="s">
        <v>1183</v>
      </c>
      <c r="AC296" s="3">
        <v>30</v>
      </c>
      <c r="AD296" s="3" t="s">
        <v>1208</v>
      </c>
      <c r="AE296" s="3" t="s">
        <v>1183</v>
      </c>
      <c r="AF296" s="5">
        <v>25</v>
      </c>
      <c r="AG296" s="3" t="s">
        <v>1183</v>
      </c>
      <c r="AH296" s="3" t="s">
        <v>1183</v>
      </c>
      <c r="AI296" s="3" t="s">
        <v>1183</v>
      </c>
      <c r="AJ296" s="3" t="s">
        <v>1183</v>
      </c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6">
        <v>25.059999542236305</v>
      </c>
      <c r="BF296" s="6">
        <v>125</v>
      </c>
      <c r="BG296" s="6">
        <v>76</v>
      </c>
    </row>
    <row r="297" spans="1:59" ht="15.75" x14ac:dyDescent="0.25">
      <c r="A297" s="3">
        <v>276</v>
      </c>
      <c r="B297" s="3" t="s">
        <v>1111</v>
      </c>
      <c r="C297" s="3" t="s">
        <v>1112</v>
      </c>
      <c r="D297" s="3" t="s">
        <v>1676</v>
      </c>
      <c r="E297" s="3" t="s">
        <v>1113</v>
      </c>
      <c r="F297" s="3" t="s">
        <v>1678</v>
      </c>
      <c r="G297" s="3" t="s">
        <v>1114</v>
      </c>
      <c r="H297" s="3" t="s">
        <v>1115</v>
      </c>
      <c r="I297" s="3"/>
      <c r="J297" s="4" t="b">
        <v>0</v>
      </c>
      <c r="K297" s="3">
        <f t="shared" si="13"/>
        <v>25</v>
      </c>
      <c r="L297" s="3"/>
      <c r="M297" s="3"/>
      <c r="N297" s="3" t="b">
        <v>0</v>
      </c>
      <c r="O297" s="3"/>
      <c r="P297" s="3">
        <v>40</v>
      </c>
      <c r="Q297" s="3"/>
      <c r="R297" s="3" t="s">
        <v>1276</v>
      </c>
      <c r="S297" s="3"/>
      <c r="T297" s="3" t="s">
        <v>26</v>
      </c>
      <c r="U297" s="3" t="b">
        <v>0</v>
      </c>
      <c r="V297" s="3">
        <v>0.60000002384185802</v>
      </c>
      <c r="W297" s="3" t="str">
        <f t="shared" si="12"/>
        <v/>
      </c>
      <c r="X297" s="3">
        <v>9</v>
      </c>
      <c r="Y297" s="3">
        <v>0.79000002145767201</v>
      </c>
      <c r="Z297" s="3"/>
      <c r="AA297" s="3" t="str">
        <f t="shared" si="14"/>
        <v>Species</v>
      </c>
      <c r="AB297" s="3" t="s">
        <v>1183</v>
      </c>
      <c r="AC297" s="3" t="s">
        <v>1183</v>
      </c>
      <c r="AD297" s="3" t="s">
        <v>1183</v>
      </c>
      <c r="AE297" s="3" t="s">
        <v>1183</v>
      </c>
      <c r="AF297" s="5">
        <v>25</v>
      </c>
      <c r="AG297" s="3" t="s">
        <v>1183</v>
      </c>
      <c r="AH297" s="3" t="s">
        <v>1183</v>
      </c>
      <c r="AI297" s="3" t="s">
        <v>1183</v>
      </c>
      <c r="AJ297" s="3" t="s">
        <v>1183</v>
      </c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6">
        <v>25</v>
      </c>
      <c r="BF297" s="6">
        <v>11</v>
      </c>
      <c r="BG297" s="6">
        <v>26.9</v>
      </c>
    </row>
    <row r="298" spans="1:59" ht="15.75" x14ac:dyDescent="0.25">
      <c r="A298" s="3">
        <v>277</v>
      </c>
      <c r="B298" s="3" t="s">
        <v>1119</v>
      </c>
      <c r="C298" s="3" t="s">
        <v>1112</v>
      </c>
      <c r="D298" s="3" t="s">
        <v>1676</v>
      </c>
      <c r="E298" s="3" t="s">
        <v>1113</v>
      </c>
      <c r="F298" s="3" t="s">
        <v>1679</v>
      </c>
      <c r="G298" s="3" t="s">
        <v>1120</v>
      </c>
      <c r="H298" s="3" t="s">
        <v>1121</v>
      </c>
      <c r="I298" s="3"/>
      <c r="J298" s="4" t="b">
        <v>0</v>
      </c>
      <c r="K298" s="3">
        <f t="shared" si="13"/>
        <v>25</v>
      </c>
      <c r="L298" s="3"/>
      <c r="M298" s="3"/>
      <c r="N298" s="3" t="b">
        <v>0</v>
      </c>
      <c r="O298" s="3"/>
      <c r="P298" s="3">
        <v>20</v>
      </c>
      <c r="Q298" s="3"/>
      <c r="R298" s="3" t="s">
        <v>1276</v>
      </c>
      <c r="S298" s="3" t="s">
        <v>292</v>
      </c>
      <c r="T298" s="3" t="s">
        <v>26</v>
      </c>
      <c r="U298" s="3" t="b">
        <v>0</v>
      </c>
      <c r="V298" s="3">
        <v>0.70999997854232799</v>
      </c>
      <c r="W298" s="3" t="e">
        <f t="shared" si="12"/>
        <v>#VALUE!</v>
      </c>
      <c r="X298" s="3">
        <v>9</v>
      </c>
      <c r="Y298" s="3">
        <v>0.79000002145767201</v>
      </c>
      <c r="Z298" s="3"/>
      <c r="AA298" s="3" t="str">
        <f t="shared" si="14"/>
        <v>Species</v>
      </c>
      <c r="AB298" s="3" t="s">
        <v>1183</v>
      </c>
      <c r="AC298" s="3" t="s">
        <v>1183</v>
      </c>
      <c r="AD298" s="3" t="s">
        <v>1183</v>
      </c>
      <c r="AE298" s="3">
        <v>25</v>
      </c>
      <c r="AF298" s="5">
        <v>25</v>
      </c>
      <c r="AG298" s="3" t="s">
        <v>1183</v>
      </c>
      <c r="AH298" s="3" t="s">
        <v>1183</v>
      </c>
      <c r="AI298" s="3" t="s">
        <v>1183</v>
      </c>
      <c r="AJ298" s="3" t="s">
        <v>1183</v>
      </c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6">
        <v>24.599999999999991</v>
      </c>
      <c r="BF298" s="6">
        <v>9</v>
      </c>
      <c r="BG298" s="6">
        <v>35</v>
      </c>
    </row>
    <row r="299" spans="1:59" ht="15.75" x14ac:dyDescent="0.25">
      <c r="A299" s="3">
        <v>278</v>
      </c>
      <c r="B299" s="3" t="s">
        <v>1122</v>
      </c>
      <c r="C299" s="3" t="s">
        <v>1112</v>
      </c>
      <c r="D299" s="3" t="s">
        <v>1676</v>
      </c>
      <c r="E299" s="3" t="s">
        <v>1113</v>
      </c>
      <c r="F299" s="3" t="s">
        <v>1680</v>
      </c>
      <c r="G299" s="3" t="s">
        <v>1123</v>
      </c>
      <c r="H299" s="3" t="s">
        <v>1124</v>
      </c>
      <c r="I299" s="3"/>
      <c r="J299" s="4" t="s">
        <v>1188</v>
      </c>
      <c r="K299" s="3" t="str">
        <f t="shared" si="13"/>
        <v/>
      </c>
      <c r="L299" s="3"/>
      <c r="M299" s="3"/>
      <c r="N299" s="3" t="b">
        <v>0</v>
      </c>
      <c r="O299" s="3"/>
      <c r="P299" s="3"/>
      <c r="Q299" s="3"/>
      <c r="R299" s="3" t="s">
        <v>1276</v>
      </c>
      <c r="S299" s="3"/>
      <c r="T299" s="3"/>
      <c r="U299" s="3"/>
      <c r="V299" s="3"/>
      <c r="W299" s="3" t="str">
        <f t="shared" si="12"/>
        <v/>
      </c>
      <c r="X299" s="3">
        <v>9</v>
      </c>
      <c r="Y299" s="3">
        <v>0.79000002145767201</v>
      </c>
      <c r="Z299" s="3"/>
      <c r="AA299" s="3" t="str">
        <f t="shared" si="14"/>
        <v>Genus</v>
      </c>
      <c r="AB299" s="3" t="s">
        <v>1183</v>
      </c>
      <c r="AC299" s="3" t="s">
        <v>1183</v>
      </c>
      <c r="AD299" s="3" t="s">
        <v>1183</v>
      </c>
      <c r="AE299" s="3" t="s">
        <v>1183</v>
      </c>
      <c r="AF299" s="5"/>
      <c r="AG299" s="3" t="s">
        <v>1183</v>
      </c>
      <c r="AH299" s="3" t="s">
        <v>1183</v>
      </c>
      <c r="AI299" s="3" t="s">
        <v>1183</v>
      </c>
      <c r="AJ299" s="3" t="s">
        <v>1183</v>
      </c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6" t="e">
        <v>#NUM!</v>
      </c>
      <c r="BF299" s="6">
        <v>0</v>
      </c>
      <c r="BG299" s="6" t="e">
        <v>#NUM!</v>
      </c>
    </row>
    <row r="300" spans="1:59" ht="15.75" x14ac:dyDescent="0.25">
      <c r="A300" s="3">
        <v>309</v>
      </c>
      <c r="B300" s="3" t="s">
        <v>1125</v>
      </c>
      <c r="C300" s="3" t="s">
        <v>326</v>
      </c>
      <c r="D300" s="3" t="s">
        <v>1681</v>
      </c>
      <c r="E300" s="3" t="s">
        <v>1126</v>
      </c>
      <c r="F300" s="3" t="s">
        <v>1708</v>
      </c>
      <c r="G300" s="3" t="s">
        <v>1127</v>
      </c>
      <c r="H300" s="3" t="s">
        <v>1128</v>
      </c>
      <c r="I300" s="3"/>
      <c r="J300" s="4" t="b">
        <v>0</v>
      </c>
      <c r="K300" s="3" t="str">
        <f t="shared" si="13"/>
        <v/>
      </c>
      <c r="L300" s="3"/>
      <c r="M300" s="3"/>
      <c r="N300" s="3" t="b">
        <v>0</v>
      </c>
      <c r="O300" s="3"/>
      <c r="P300" s="3"/>
      <c r="Q300" s="3"/>
      <c r="R300" s="3" t="s">
        <v>1181</v>
      </c>
      <c r="S300" s="3" t="s">
        <v>340</v>
      </c>
      <c r="T300" s="3" t="s">
        <v>26</v>
      </c>
      <c r="U300" s="3" t="b">
        <v>0</v>
      </c>
      <c r="V300" s="3"/>
      <c r="W300" s="3" t="e">
        <f t="shared" si="12"/>
        <v>#VALUE!</v>
      </c>
      <c r="X300" s="3"/>
      <c r="Y300" s="3"/>
      <c r="Z300" s="3"/>
      <c r="AA300" s="3" t="str">
        <f t="shared" si="14"/>
        <v>Species</v>
      </c>
      <c r="AB300" s="3"/>
      <c r="AC300" s="3"/>
      <c r="AD300" s="3"/>
      <c r="AE300" s="3"/>
      <c r="AF300" s="5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6" t="e">
        <v>#NUM!</v>
      </c>
      <c r="BF300" s="6">
        <v>0</v>
      </c>
      <c r="BG300" s="6" t="s">
        <v>1682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species</vt:lpstr>
      <vt:lpstr>all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Andy Kenney</cp:lastModifiedBy>
  <dcterms:created xsi:type="dcterms:W3CDTF">2022-01-05T15:35:01Z</dcterms:created>
  <dcterms:modified xsi:type="dcterms:W3CDTF">2022-01-05T15:47:33Z</dcterms:modified>
</cp:coreProperties>
</file>